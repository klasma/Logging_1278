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46189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1782-2024</t>
        </is>
      </c>
      <c r="B3" s="1" t="n">
        <v>45307</v>
      </c>
      <c r="C3" s="1" t="n">
        <v>46189</v>
      </c>
      <c r="D3" t="inlineStr">
        <is>
          <t>SKÅNE LÄN</t>
        </is>
      </c>
      <c r="E3" t="inlineStr">
        <is>
          <t>BÅSTAD</t>
        </is>
      </c>
      <c r="G3" t="n">
        <v>2.7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HYPERLINK("https://klasma.github.io/Logging_1278/artfynd/A 1782-2024 artfynd.xlsx", "A 1782-2024")</f>
        <v/>
      </c>
      <c r="T3">
        <f>HYPERLINK("https://klasma.github.io/Logging_1278/kartor/A 1782-2024 karta.png", "A 1782-2024")</f>
        <v/>
      </c>
      <c r="V3">
        <f>HYPERLINK("https://klasma.github.io/Logging_1278/klagomål/A 1782-2024 FSC-klagomål.docx", "A 1782-2024")</f>
        <v/>
      </c>
      <c r="W3">
        <f>HYPERLINK("https://klasma.github.io/Logging_1278/klagomålsmail/A 1782-2024 FSC-klagomål mail.docx", "A 1782-2024")</f>
        <v/>
      </c>
      <c r="X3">
        <f>HYPERLINK("https://klasma.github.io/Logging_1278/tillsyn/A 1782-2024 tillsynsbegäran.docx", "A 1782-2024")</f>
        <v/>
      </c>
      <c r="Y3">
        <f>HYPERLINK("https://klasma.github.io/Logging_1278/tillsynsmail/A 1782-2024 tillsynsbegäran mail.docx", "A 1782-2024")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46189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46189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48974-2023</t>
        </is>
      </c>
      <c r="B6" s="1" t="n">
        <v>45209</v>
      </c>
      <c r="C6" s="1" t="n">
        <v>46189</v>
      </c>
      <c r="D6" t="inlineStr">
        <is>
          <t>SKÅNE LÄN</t>
        </is>
      </c>
      <c r="E6" t="inlineStr">
        <is>
          <t>BÅSTAD</t>
        </is>
      </c>
      <c r="G6" t="n">
        <v>4.5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4822-2023</t>
        </is>
      </c>
      <c r="B7" s="1" t="n">
        <v>44957</v>
      </c>
      <c r="C7" s="1" t="n">
        <v>46189</v>
      </c>
      <c r="D7" t="inlineStr">
        <is>
          <t>SKÅNE LÄN</t>
        </is>
      </c>
      <c r="E7" t="inlineStr">
        <is>
          <t>BÅSTAD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46189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4486-2024</t>
        </is>
      </c>
      <c r="B9" s="1" t="n">
        <v>45327</v>
      </c>
      <c r="C9" s="1" t="n">
        <v>46189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32610-2024</t>
        </is>
      </c>
      <c r="B10" s="1" t="n">
        <v>45513</v>
      </c>
      <c r="C10" s="1" t="n">
        <v>46189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46189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46189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5817-2025</t>
        </is>
      </c>
      <c r="B13" s="1" t="n">
        <v>45694.74113425926</v>
      </c>
      <c r="C13" s="1" t="n">
        <v>46189</v>
      </c>
      <c r="D13" t="inlineStr">
        <is>
          <t>SKÅNE LÄN</t>
        </is>
      </c>
      <c r="E13" t="inlineStr">
        <is>
          <t>BÅSTAD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24-2023</t>
        </is>
      </c>
      <c r="B14" s="1" t="n">
        <v>44928</v>
      </c>
      <c r="C14" s="1" t="n">
        <v>46189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46189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28260-2023</t>
        </is>
      </c>
      <c r="B16" s="1" t="n">
        <v>45099</v>
      </c>
      <c r="C16" s="1" t="n">
        <v>46189</v>
      </c>
      <c r="D16" t="inlineStr">
        <is>
          <t>SKÅNE LÄN</t>
        </is>
      </c>
      <c r="E16" t="inlineStr">
        <is>
          <t>BÅSTAD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4481-2024</t>
        </is>
      </c>
      <c r="B17" s="1" t="n">
        <v>45327</v>
      </c>
      <c r="C17" s="1" t="n">
        <v>46189</v>
      </c>
      <c r="D17" t="inlineStr">
        <is>
          <t>SKÅNE LÄN</t>
        </is>
      </c>
      <c r="E17" t="inlineStr">
        <is>
          <t>BÅSTAD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18332-2025</t>
        </is>
      </c>
      <c r="B18" s="1" t="n">
        <v>45762</v>
      </c>
      <c r="C18" s="1" t="n">
        <v>46189</v>
      </c>
      <c r="D18" t="inlineStr">
        <is>
          <t>SKÅNE LÄN</t>
        </is>
      </c>
      <c r="E18" t="inlineStr">
        <is>
          <t>BÅSTAD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46189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46189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18434-2023</t>
        </is>
      </c>
      <c r="B21" s="1" t="n">
        <v>45042</v>
      </c>
      <c r="C21" s="1" t="n">
        <v>46189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53131-2021</t>
        </is>
      </c>
      <c r="B22" s="1" t="n">
        <v>44468</v>
      </c>
      <c r="C22" s="1" t="n">
        <v>46189</v>
      </c>
      <c r="D22" t="inlineStr">
        <is>
          <t>SKÅNE LÄN</t>
        </is>
      </c>
      <c r="E22" t="inlineStr">
        <is>
          <t>BÅSTAD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7727-2026</t>
        </is>
      </c>
      <c r="B23" s="1" t="n">
        <v>46062.50420138889</v>
      </c>
      <c r="C23" s="1" t="n">
        <v>46189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46062.52008101852</v>
      </c>
      <c r="C24" s="1" t="n">
        <v>46189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4487-2024</t>
        </is>
      </c>
      <c r="B25" s="1" t="n">
        <v>45327</v>
      </c>
      <c r="C25" s="1" t="n">
        <v>46189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18327-2025</t>
        </is>
      </c>
      <c r="B26" s="1" t="n">
        <v>45762</v>
      </c>
      <c r="C26" s="1" t="n">
        <v>46189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46189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4493-2024</t>
        </is>
      </c>
      <c r="B28" s="1" t="n">
        <v>45327</v>
      </c>
      <c r="C28" s="1" t="n">
        <v>46189</v>
      </c>
      <c r="D28" t="inlineStr">
        <is>
          <t>SKÅNE LÄN</t>
        </is>
      </c>
      <c r="E28" t="inlineStr">
        <is>
          <t>BÅSTAD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18328-2025</t>
        </is>
      </c>
      <c r="B29" s="1" t="n">
        <v>45762</v>
      </c>
      <c r="C29" s="1" t="n">
        <v>46189</v>
      </c>
      <c r="D29" t="inlineStr">
        <is>
          <t>SKÅNE LÄN</t>
        </is>
      </c>
      <c r="E29" t="inlineStr">
        <is>
          <t>BÅSTAD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46189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34400-2025</t>
        </is>
      </c>
      <c r="B31" s="1" t="n">
        <v>45846.61351851852</v>
      </c>
      <c r="C31" s="1" t="n">
        <v>46189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2026-06-16T12:55:02Z</dcterms:created>
  <dcterms:modified xmlns:dcterms="http://purl.org/dc/terms/" xmlns:xsi="http://www.w3.org/2001/XMLSchema-instance" xsi:type="dcterms:W3CDTF">2026-06-16T12:55:02Z</dcterms:modified>
</cp:coreProperties>
</file>