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S 3928-2024</t>
        </is>
      </c>
      <c r="B2" t="inlineStr">
        <is>
          <t>samrådsanmälan</t>
        </is>
      </c>
      <c r="C2" t="inlineStr">
        <is>
          <t>Askåterföring</t>
        </is>
      </c>
      <c r="D2" s="1" t="n">
        <v>45565</v>
      </c>
      <c r="E2" s="1" t="n">
        <v>46309</v>
      </c>
      <c r="F2" t="inlineStr">
        <is>
          <t>SKÅNE LÄN</t>
        </is>
      </c>
      <c r="G2" t="inlineStr">
        <is>
          <t>BÅSTAD</t>
        </is>
      </c>
      <c r="I2" t="n">
        <v>52.8</v>
      </c>
      <c r="J2" t="n">
        <v>6</v>
      </c>
      <c r="K2" t="n">
        <v>1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8</v>
      </c>
      <c r="T2" t="n">
        <v>12</v>
      </c>
      <c r="U2" t="n">
        <v>0</v>
      </c>
      <c r="V2" s="2" t="inlineStr">
        <is>
          <t>Entita
Talltita
Älg
Kambräken
Spillkråka
Grönsiska
Kungsfågel
Revlummer</t>
        </is>
      </c>
      <c r="W2">
        <f>HYPERLINK("https://klasma.github.io/Logging_1278/artfynd/S 3928-2024 artfynd.xlsx", "S 3928-2024")</f>
        <v/>
      </c>
      <c r="X2">
        <f>HYPERLINK("https://klasma.github.io/Logging_1278/kartor/S 3928-2024 karta.png", "S 3928-2024")</f>
        <v/>
      </c>
      <c r="Y2">
        <f>HYPERLINK("https://klasma.github.io/Logging_1278/kartor_geotiff/S 3928-2024 georefererad karta.tif", "S 3928-2024")</f>
        <v/>
      </c>
      <c r="AA2">
        <f>HYPERLINK("https://klasma.github.io/Logging_1278/klagomål/S 3928-2024 FSC-klagomål.docx", "S 3928-2024")</f>
        <v/>
      </c>
      <c r="AB2">
        <f>HYPERLINK("https://klasma.github.io/Logging_1278/klagomålsmail/S 3928-2024 FSC-klagomål mail.docx", "S 3928-2024")</f>
        <v/>
      </c>
      <c r="AC2">
        <f>HYPERLINK("https://klasma.github.io/Logging_1278/tillsyn/S 3928-2024 tillsynsbegäran.docx", "S 3928-2024")</f>
        <v/>
      </c>
      <c r="AD2">
        <f>HYPERLINK("https://klasma.github.io/Logging_1278/tillsynsmail/S 3928-2024 tillsynsbegäran mail.docx", "S 3928-2024")</f>
        <v/>
      </c>
      <c r="AE2">
        <f>HYPERLINK("https://klasma.github.io/Logging_1278/fåglar/S 3928-2024 prioriterade fågelarter.docx", "S 3928-2024")</f>
        <v/>
      </c>
    </row>
    <row r="3" ht="15" customHeight="1">
      <c r="A3" t="inlineStr">
        <is>
          <t>S 5174-2024</t>
        </is>
      </c>
      <c r="B3" t="inlineStr">
        <is>
          <t>samrådsanmälan</t>
        </is>
      </c>
      <c r="C3" t="inlineStr">
        <is>
          <t>Askåterföring</t>
        </is>
      </c>
      <c r="D3" s="1" t="n">
        <v>45646</v>
      </c>
      <c r="E3" s="1" t="n">
        <v>46309</v>
      </c>
      <c r="F3" t="inlineStr">
        <is>
          <t>SKÅNE LÄN</t>
        </is>
      </c>
      <c r="G3" t="inlineStr">
        <is>
          <t>BÅSTAD</t>
        </is>
      </c>
      <c r="I3" t="n">
        <v>43.8</v>
      </c>
      <c r="J3" t="n">
        <v>6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7</v>
      </c>
      <c r="T3" t="n">
        <v>13</v>
      </c>
      <c r="U3" t="n">
        <v>0</v>
      </c>
      <c r="V3" s="2" t="inlineStr">
        <is>
          <t>Entita
Talltita
Kambräken
Spillkråka
Grönsiska
Kungsfågel
Revlummer</t>
        </is>
      </c>
      <c r="W3">
        <f>HYPERLINK("https://klasma.github.io/Logging_1278/artfynd/S 5174-2024 artfynd.xlsx", "S 5174-2024")</f>
        <v/>
      </c>
      <c r="X3">
        <f>HYPERLINK("https://klasma.github.io/Logging_1278/kartor/S 5174-2024 karta.png", "S 5174-2024")</f>
        <v/>
      </c>
      <c r="Y3">
        <f>HYPERLINK("https://klasma.github.io/Logging_1278/kartor_geotiff/S 5174-2024 georefererad karta.tif", "S 5174-2024")</f>
        <v/>
      </c>
      <c r="AA3">
        <f>HYPERLINK("https://klasma.github.io/Logging_1278/klagomål/S 5174-2024 FSC-klagomål.docx", "S 5174-2024")</f>
        <v/>
      </c>
      <c r="AB3">
        <f>HYPERLINK("https://klasma.github.io/Logging_1278/klagomålsmail/S 5174-2024 FSC-klagomål mail.docx", "S 5174-2024")</f>
        <v/>
      </c>
      <c r="AC3">
        <f>HYPERLINK("https://klasma.github.io/Logging_1278/tillsyn/S 5174-2024 tillsynsbegäran.docx", "S 5174-2024")</f>
        <v/>
      </c>
      <c r="AD3">
        <f>HYPERLINK("https://klasma.github.io/Logging_1278/tillsynsmail/S 5174-2024 tillsynsbegäran mail.docx", "S 5174-2024")</f>
        <v/>
      </c>
      <c r="AE3">
        <f>HYPERLINK("https://klasma.github.io/Logging_1278/fåglar/S 5174-2024 prioriterade fågelarter.docx", "S 5174-2024")</f>
        <v/>
      </c>
    </row>
    <row r="4" ht="15" customHeight="1">
      <c r="A4" t="inlineStr">
        <is>
          <t>A 38013-2022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44811</v>
      </c>
      <c r="E4" s="1" t="n">
        <v>46309</v>
      </c>
      <c r="F4" t="inlineStr">
        <is>
          <t>SKÅNE LÄN</t>
        </is>
      </c>
      <c r="G4" t="inlineStr">
        <is>
          <t>BÅSTAD</t>
        </is>
      </c>
      <c r="I4" t="n">
        <v>5.3</v>
      </c>
      <c r="J4" t="n">
        <v>0</v>
      </c>
      <c r="K4" t="n">
        <v>3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4</v>
      </c>
      <c r="T4" t="n">
        <v>4</v>
      </c>
      <c r="U4" t="n">
        <v>1</v>
      </c>
      <c r="V4" s="2" t="inlineStr">
        <is>
          <t>Igelkott
Blåmossa
Stubbspretmossa
Västlig hakmossa</t>
        </is>
      </c>
      <c r="W4">
        <f>HYPERLINK("https://klasma.github.io/Logging_1278/artfynd/A 38013-2022 artfynd.xlsx", "A 38013-2022")</f>
        <v/>
      </c>
      <c r="X4">
        <f>HYPERLINK("https://klasma.github.io/Logging_1278/kartor/A 38013-2022 karta.png", "A 38013-2022")</f>
        <v/>
      </c>
      <c r="Y4">
        <f>HYPERLINK("https://klasma.github.io/Logging_1278/kartor_geotiff/A 38013-2022 georefererad karta.tif", "A 38013-2022")</f>
        <v/>
      </c>
      <c r="AA4">
        <f>HYPERLINK("https://klasma.github.io/Logging_1278/klagomål/A 38013-2022 FSC-klagomål.docx", "A 38013-2022")</f>
        <v/>
      </c>
      <c r="AB4">
        <f>HYPERLINK("https://klasma.github.io/Logging_1278/klagomålsmail/A 38013-2022 FSC-klagomål mail.docx", "A 38013-2022")</f>
        <v/>
      </c>
      <c r="AC4">
        <f>HYPERLINK("https://klasma.github.io/Logging_1278/tillsyn/A 38013-2022 tillsynsbegäran.docx", "A 38013-2022")</f>
        <v/>
      </c>
      <c r="AD4">
        <f>HYPERLINK("https://klasma.github.io/Logging_1278/tillsynsmail/A 38013-2022 tillsynsbegäran mail.docx", "A 38013-2022")</f>
        <v/>
      </c>
    </row>
    <row r="5" ht="15" customHeight="1">
      <c r="A5" t="inlineStr">
        <is>
          <t>A 2943-2023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44945</v>
      </c>
      <c r="E5" s="1" t="n">
        <v>46309</v>
      </c>
      <c r="F5" t="inlineStr">
        <is>
          <t>SKÅNE LÄN</t>
        </is>
      </c>
      <c r="G5" t="inlineStr">
        <is>
          <t>BÅSTAD</t>
        </is>
      </c>
      <c r="I5" t="n">
        <v>11.3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2</v>
      </c>
      <c r="R5" t="n">
        <v>1</v>
      </c>
      <c r="S5" t="n">
        <v>3</v>
      </c>
      <c r="T5" t="n">
        <v>3</v>
      </c>
      <c r="U5" t="n">
        <v>3</v>
      </c>
      <c r="V5" s="2" t="inlineStr">
        <is>
          <t>Skogsalm
Sårläka
Grönvit nattviol</t>
        </is>
      </c>
      <c r="W5">
        <f>HYPERLINK("https://klasma.github.io/Logging_1278/artfynd/A 2943-2023 artfynd.xlsx", "A 2943-2023")</f>
        <v/>
      </c>
      <c r="X5">
        <f>HYPERLINK("https://klasma.github.io/Logging_1278/kartor/A 2943-2023 karta.png", "A 2943-2023")</f>
        <v/>
      </c>
      <c r="Y5">
        <f>HYPERLINK("https://klasma.github.io/Logging_1278/kartor_geotiff/A 2943-2023 georefererad karta.tif", "A 2943-2023")</f>
        <v/>
      </c>
      <c r="AA5">
        <f>HYPERLINK("https://klasma.github.io/Logging_1278/klagomål/A 2943-2023 FSC-klagomål.docx", "A 2943-2023")</f>
        <v/>
      </c>
      <c r="AB5">
        <f>HYPERLINK("https://klasma.github.io/Logging_1278/klagomålsmail/A 2943-2023 FSC-klagomål mail.docx", "A 2943-2023")</f>
        <v/>
      </c>
      <c r="AC5">
        <f>HYPERLINK("https://klasma.github.io/Logging_1278/tillsyn/A 2943-2023 tillsynsbegäran.docx", "A 2943-2023")</f>
        <v/>
      </c>
      <c r="AD5">
        <f>HYPERLINK("https://klasma.github.io/Logging_1278/tillsynsmail/A 2943-2023 tillsynsbegäran mail.docx", "A 2943-2023")</f>
        <v/>
      </c>
    </row>
    <row r="6" ht="15" customHeight="1">
      <c r="A6" t="inlineStr">
        <is>
          <t>A 11517-2024</t>
        </is>
      </c>
      <c r="B6" t="inlineStr">
        <is>
          <t>avverkningsanmälan</t>
        </is>
      </c>
      <c r="C6" t="inlineStr">
        <is>
          <t>Avverkning för annat ändamål</t>
        </is>
      </c>
      <c r="D6" s="1" t="n">
        <v>45372</v>
      </c>
      <c r="E6" s="1" t="n">
        <v>46309</v>
      </c>
      <c r="F6" t="inlineStr">
        <is>
          <t>SKÅNE LÄN</t>
        </is>
      </c>
      <c r="G6" t="inlineStr">
        <is>
          <t>BÅSTAD</t>
        </is>
      </c>
      <c r="I6" t="n">
        <v>0.7</v>
      </c>
      <c r="J6" t="n">
        <v>2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n">
        <v>3</v>
      </c>
      <c r="T6" t="n">
        <v>3</v>
      </c>
      <c r="U6" t="n">
        <v>0</v>
      </c>
      <c r="V6" s="2" t="inlineStr">
        <is>
          <t>Skogsalm
Tvåblad
Grönvit nattviol</t>
        </is>
      </c>
      <c r="W6">
        <f>HYPERLINK("https://klasma.github.io/Logging_1278/artfynd/A 11517-2024 artfynd.xlsx", "A 11517-2024")</f>
        <v/>
      </c>
      <c r="X6">
        <f>HYPERLINK("https://klasma.github.io/Logging_1278/kartor/A 11517-2024 karta.png", "A 11517-2024")</f>
        <v/>
      </c>
      <c r="Y6">
        <f>HYPERLINK("https://klasma.github.io/Logging_1278/kartor_geotiff/A 11517-2024 georefererad karta.tif", "A 11517-2024")</f>
        <v/>
      </c>
      <c r="AA6">
        <f>HYPERLINK("https://klasma.github.io/Logging_1278/klagomål/A 11517-2024 FSC-klagomål.docx", "A 11517-2024")</f>
        <v/>
      </c>
      <c r="AB6">
        <f>HYPERLINK("https://klasma.github.io/Logging_1278/klagomålsmail/A 11517-2024 FSC-klagomål mail.docx", "A 11517-2024")</f>
        <v/>
      </c>
      <c r="AC6">
        <f>HYPERLINK("https://klasma.github.io/Logging_1278/tillsyn/A 11517-2024 tillsynsbegäran.docx", "A 11517-2024")</f>
        <v/>
      </c>
      <c r="AD6">
        <f>HYPERLINK("https://klasma.github.io/Logging_1278/tillsynsmail/A 11517-2024 tillsynsbegäran mail.docx", "A 11517-2024")</f>
        <v/>
      </c>
    </row>
    <row r="7" ht="15" customHeight="1">
      <c r="A7" t="inlineStr">
        <is>
          <t>A 48974-2023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45209</v>
      </c>
      <c r="E7" s="1" t="n">
        <v>46309</v>
      </c>
      <c r="F7" t="inlineStr">
        <is>
          <t>SKÅNE LÄN</t>
        </is>
      </c>
      <c r="G7" t="inlineStr">
        <is>
          <t>BÅSTAD</t>
        </is>
      </c>
      <c r="I7" t="n">
        <v>4.5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2</v>
      </c>
      <c r="R7" t="n">
        <v>1</v>
      </c>
      <c r="S7" t="n">
        <v>2</v>
      </c>
      <c r="T7" t="n">
        <v>2</v>
      </c>
      <c r="U7" t="n">
        <v>0</v>
      </c>
      <c r="V7" s="2" t="inlineStr">
        <is>
          <t>Ask
Gullpudra</t>
        </is>
      </c>
      <c r="W7">
        <f>HYPERLINK("https://klasma.github.io/Logging_1278/artfynd/A 48974-2023 artfynd.xlsx", "A 48974-2023")</f>
        <v/>
      </c>
      <c r="X7">
        <f>HYPERLINK("https://klasma.github.io/Logging_1278/kartor/A 48974-2023 karta.png", "A 48974-2023")</f>
        <v/>
      </c>
      <c r="Y7">
        <f>HYPERLINK("https://klasma.github.io/Logging_1278/kartor_geotiff/A 48974-2023 georefererad karta.tif", "A 48974-2023")</f>
        <v/>
      </c>
      <c r="AA7">
        <f>HYPERLINK("https://klasma.github.io/Logging_1278/klagomål/A 48974-2023 FSC-klagomål.docx", "A 48974-2023")</f>
        <v/>
      </c>
      <c r="AB7">
        <f>HYPERLINK("https://klasma.github.io/Logging_1278/klagomålsmail/A 48974-2023 FSC-klagomål mail.docx", "A 48974-2023")</f>
        <v/>
      </c>
      <c r="AC7">
        <f>HYPERLINK("https://klasma.github.io/Logging_1278/tillsyn/A 48974-2023 tillsynsbegäran.docx", "A 48974-2023")</f>
        <v/>
      </c>
      <c r="AD7">
        <f>HYPERLINK("https://klasma.github.io/Logging_1278/tillsynsmail/A 48974-2023 tillsynsbegäran mail.docx", "A 48974-2023")</f>
        <v/>
      </c>
    </row>
    <row r="8" ht="15" customHeight="1">
      <c r="A8" t="inlineStr">
        <is>
          <t>A 1782-2024</t>
        </is>
      </c>
      <c r="B8" t="inlineStr">
        <is>
          <t>avverkningsanmälan</t>
        </is>
      </c>
      <c r="C8" t="inlineStr">
        <is>
          <t>Avverkning för annat ändamål</t>
        </is>
      </c>
      <c r="D8" s="1" t="n">
        <v>45307</v>
      </c>
      <c r="E8" s="1" t="n">
        <v>46309</v>
      </c>
      <c r="F8" t="inlineStr">
        <is>
          <t>SKÅNE LÄN</t>
        </is>
      </c>
      <c r="G8" t="inlineStr">
        <is>
          <t>BÅSTAD</t>
        </is>
      </c>
      <c r="I8" t="n">
        <v>2.7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s="2" t="inlineStr">
        <is>
          <t>Grönvit nattviol</t>
        </is>
      </c>
      <c r="W8">
        <f>HYPERLINK("https://klasma.github.io/Logging_1278/artfynd/A 1782-2024 artfynd.xlsx", "A 1782-2024")</f>
        <v/>
      </c>
      <c r="X8">
        <f>HYPERLINK("https://klasma.github.io/Logging_1278/kartor/A 1782-2024 karta.png", "A 1782-2024")</f>
        <v/>
      </c>
      <c r="Y8">
        <f>HYPERLINK("https://klasma.github.io/Logging_1278/kartor_geotiff/A 1782-2024 georefererad karta.tif", "A 1782-2024")</f>
        <v/>
      </c>
      <c r="AA8">
        <f>HYPERLINK("https://klasma.github.io/Logging_1278/klagomål/A 1782-2024 FSC-klagomål.docx", "A 1782-2024")</f>
        <v/>
      </c>
      <c r="AB8">
        <f>HYPERLINK("https://klasma.github.io/Logging_1278/klagomålsmail/A 1782-2024 FSC-klagomål mail.docx", "A 1782-2024")</f>
        <v/>
      </c>
      <c r="AC8">
        <f>HYPERLINK("https://klasma.github.io/Logging_1278/tillsyn/A 1782-2024 tillsynsbegäran.docx", "A 1782-2024")</f>
        <v/>
      </c>
      <c r="AD8">
        <f>HYPERLINK("https://klasma.github.io/Logging_1278/tillsynsmail/A 1782-2024 tillsynsbegäran mail.docx", "A 1782-2024")</f>
        <v/>
      </c>
    </row>
    <row r="9" ht="15" customHeight="1">
      <c r="A9" t="inlineStr">
        <is>
          <t>A 389-2023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44929</v>
      </c>
      <c r="E9" s="1" t="n">
        <v>46309</v>
      </c>
      <c r="F9" t="inlineStr">
        <is>
          <t>SKÅNE LÄN</t>
        </is>
      </c>
      <c r="G9" t="inlineStr">
        <is>
          <t>BÅSTAD</t>
        </is>
      </c>
      <c r="I9" t="n">
        <v>2.5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s="2" t="inlineStr">
        <is>
          <t>Grönvit nattviol</t>
        </is>
      </c>
      <c r="W9">
        <f>HYPERLINK("https://klasma.github.io/Logging_1278/artfynd/A 389-2023 artfynd.xlsx", "A 389-2023")</f>
        <v/>
      </c>
      <c r="X9">
        <f>HYPERLINK("https://klasma.github.io/Logging_1278/kartor/A 389-2023 karta.png", "A 389-2023")</f>
        <v/>
      </c>
      <c r="Y9">
        <f>HYPERLINK("https://klasma.github.io/Logging_1278/kartor_geotiff/A 389-2023 georefererad karta.tif", "A 389-2023")</f>
        <v/>
      </c>
      <c r="AA9">
        <f>HYPERLINK("https://klasma.github.io/Logging_1278/klagomål/A 389-2023 FSC-klagomål.docx", "A 389-2023")</f>
        <v/>
      </c>
      <c r="AB9">
        <f>HYPERLINK("https://klasma.github.io/Logging_1278/klagomålsmail/A 389-2023 FSC-klagomål mail.docx", "A 389-2023")</f>
        <v/>
      </c>
      <c r="AC9">
        <f>HYPERLINK("https://klasma.github.io/Logging_1278/tillsyn/A 389-2023 tillsynsbegäran.docx", "A 389-2023")</f>
        <v/>
      </c>
      <c r="AD9">
        <f>HYPERLINK("https://klasma.github.io/Logging_1278/tillsynsmail/A 389-2023 tillsynsbegäran mail.docx", "A 389-2023")</f>
        <v/>
      </c>
    </row>
    <row r="10" ht="15" customHeight="1">
      <c r="A10" t="inlineStr">
        <is>
          <t>A 18328-2025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45762</v>
      </c>
      <c r="E10" s="1" t="n">
        <v>46309</v>
      </c>
      <c r="F10" t="inlineStr">
        <is>
          <t>SKÅNE LÄN</t>
        </is>
      </c>
      <c r="G10" t="inlineStr">
        <is>
          <t>BÅSTAD</t>
        </is>
      </c>
      <c r="I10" t="n">
        <v>1.8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Törnskata</t>
        </is>
      </c>
      <c r="W10">
        <f>HYPERLINK("https://klasma.github.io/Logging_1278/artfynd/A 18328-2025 artfynd.xlsx", "A 18328-2025")</f>
        <v/>
      </c>
      <c r="X10">
        <f>HYPERLINK("https://klasma.github.io/Logging_1278/kartor/A 18328-2025 karta.png", "A 18328-2025")</f>
        <v/>
      </c>
      <c r="Y10">
        <f>HYPERLINK("https://klasma.github.io/Logging_1278/kartor_geotiff/A 18328-2025 georefererad karta.tif", "A 18328-2025")</f>
        <v/>
      </c>
      <c r="AA10">
        <f>HYPERLINK("https://klasma.github.io/Logging_1278/klagomål/A 18328-2025 FSC-klagomål.docx", "A 18328-2025")</f>
        <v/>
      </c>
      <c r="AB10">
        <f>HYPERLINK("https://klasma.github.io/Logging_1278/klagomålsmail/A 18328-2025 FSC-klagomål mail.docx", "A 18328-2025")</f>
        <v/>
      </c>
      <c r="AC10">
        <f>HYPERLINK("https://klasma.github.io/Logging_1278/tillsyn/A 18328-2025 tillsynsbegäran.docx", "A 18328-2025")</f>
        <v/>
      </c>
      <c r="AD10">
        <f>HYPERLINK("https://klasma.github.io/Logging_1278/tillsynsmail/A 18328-2025 tillsynsbegäran mail.docx", "A 18328-2025")</f>
        <v/>
      </c>
      <c r="AE10">
        <f>HYPERLINK("https://klasma.github.io/Logging_1278/fåglar/A 18328-2025 prioriterade fågelarter.docx", "A 18328-2025")</f>
        <v/>
      </c>
    </row>
    <row r="11" ht="15" customHeight="1">
      <c r="A11" t="inlineStr">
        <is>
          <t>A 18332-2025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45762</v>
      </c>
      <c r="E11" s="1" t="n">
        <v>46309</v>
      </c>
      <c r="F11" t="inlineStr">
        <is>
          <t>SKÅNE LÄN</t>
        </is>
      </c>
      <c r="G11" t="inlineStr">
        <is>
          <t>BÅSTAD</t>
        </is>
      </c>
      <c r="I11" t="n">
        <v>2.5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s="2" t="inlineStr">
        <is>
          <t>Källmossa</t>
        </is>
      </c>
      <c r="W11">
        <f>HYPERLINK("https://klasma.github.io/Logging_1278/artfynd/A 18332-2025 artfynd.xlsx", "A 18332-2025")</f>
        <v/>
      </c>
      <c r="X11">
        <f>HYPERLINK("https://klasma.github.io/Logging_1278/kartor/A 18332-2025 karta.png", "A 18332-2025")</f>
        <v/>
      </c>
      <c r="Y11">
        <f>HYPERLINK("https://klasma.github.io/Logging_1278/kartor_geotiff/A 18332-2025 georefererad karta.tif", "A 18332-2025")</f>
        <v/>
      </c>
      <c r="AA11">
        <f>HYPERLINK("https://klasma.github.io/Logging_1278/klagomål/A 18332-2025 FSC-klagomål.docx", "A 18332-2025")</f>
        <v/>
      </c>
      <c r="AB11">
        <f>HYPERLINK("https://klasma.github.io/Logging_1278/klagomålsmail/A 18332-2025 FSC-klagomål mail.docx", "A 18332-2025")</f>
        <v/>
      </c>
      <c r="AC11">
        <f>HYPERLINK("https://klasma.github.io/Logging_1278/tillsyn/A 18332-2025 tillsynsbegäran.docx", "A 18332-2025")</f>
        <v/>
      </c>
      <c r="AD11">
        <f>HYPERLINK("https://klasma.github.io/Logging_1278/tillsynsmail/A 18332-2025 tillsynsbegäran mail.docx", "A 18332-2025")</f>
        <v/>
      </c>
    </row>
    <row r="12" ht="15" customHeight="1">
      <c r="A12" t="inlineStr">
        <is>
          <t>S 1528-2023</t>
        </is>
      </c>
      <c r="B12" t="inlineStr">
        <is>
          <t>samrådsanmälan</t>
        </is>
      </c>
      <c r="C12" t="inlineStr">
        <is>
          <t>Askåterföring</t>
        </is>
      </c>
      <c r="D12" s="1" t="n">
        <v>45055</v>
      </c>
      <c r="E12" s="1" t="n">
        <v>46309</v>
      </c>
      <c r="F12" t="inlineStr">
        <is>
          <t>SKÅNE LÄN</t>
        </is>
      </c>
      <c r="G12" t="inlineStr">
        <is>
          <t>BÅSTAD</t>
        </is>
      </c>
      <c r="I12" t="n">
        <v>2.1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s="2" t="inlineStr">
        <is>
          <t>Skogshakmossa</t>
        </is>
      </c>
      <c r="W12">
        <f>HYPERLINK("https://klasma.github.io/Logging_1278/artfynd/S 1528-2023 artfynd.xlsx", "S 1528-2023")</f>
        <v/>
      </c>
      <c r="X12">
        <f>HYPERLINK("https://klasma.github.io/Logging_1278/kartor/S 1528-2023 karta.png", "S 1528-2023")</f>
        <v/>
      </c>
      <c r="Y12">
        <f>HYPERLINK("https://klasma.github.io/Logging_1278/kartor_geotiff/S 1528-2023 georefererad karta.tif", "S 1528-2023")</f>
        <v/>
      </c>
      <c r="AA12">
        <f>HYPERLINK("https://klasma.github.io/Logging_1278/klagomål/S 1528-2023 FSC-klagomål.docx", "S 1528-2023")</f>
        <v/>
      </c>
      <c r="AB12">
        <f>HYPERLINK("https://klasma.github.io/Logging_1278/klagomålsmail/S 1528-2023 FSC-klagomål mail.docx", "S 1528-2023")</f>
        <v/>
      </c>
      <c r="AC12">
        <f>HYPERLINK("https://klasma.github.io/Logging_1278/tillsyn/S 1528-2023 tillsynsbegäran.docx", "S 1528-2023")</f>
        <v/>
      </c>
      <c r="AD12">
        <f>HYPERLINK("https://klasma.github.io/Logging_1278/tillsynsmail/S 1528-2023 tillsynsbegäran mail.docx", "S 1528-2023")</f>
        <v/>
      </c>
    </row>
    <row r="13" ht="15" customHeight="1">
      <c r="A13" t="inlineStr">
        <is>
          <t>A 4822-2023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44957</v>
      </c>
      <c r="E13" s="1" t="n">
        <v>46309</v>
      </c>
      <c r="F13" t="inlineStr">
        <is>
          <t>SKÅNE LÄN</t>
        </is>
      </c>
      <c r="G13" t="inlineStr">
        <is>
          <t>BÅSTAD</t>
        </is>
      </c>
      <c r="I13" t="n">
        <v>2.2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  <row r="14" ht="15" customHeight="1">
      <c r="A14" t="inlineStr">
        <is>
          <t>A 1531-2022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44573</v>
      </c>
      <c r="E14" s="1" t="n">
        <v>46309</v>
      </c>
      <c r="F14" t="inlineStr">
        <is>
          <t>SKÅNE LÄN</t>
        </is>
      </c>
      <c r="G14" t="inlineStr">
        <is>
          <t>BÅSTAD</t>
        </is>
      </c>
      <c r="I14" t="n">
        <v>1.6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s="2" t="inlineStr"/>
    </row>
    <row r="15" ht="15" customHeight="1">
      <c r="A15" t="inlineStr">
        <is>
          <t>A 4486-2024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45327</v>
      </c>
      <c r="E15" s="1" t="n">
        <v>46309</v>
      </c>
      <c r="F15" t="inlineStr">
        <is>
          <t>SKÅNE LÄN</t>
        </is>
      </c>
      <c r="G15" t="inlineStr">
        <is>
          <t>BÅSTAD</t>
        </is>
      </c>
      <c r="I15" t="n">
        <v>0.6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s="2" t="inlineStr"/>
    </row>
    <row r="16" ht="15" customHeight="1">
      <c r="A16" t="inlineStr">
        <is>
          <t>A 10710-2025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45722</v>
      </c>
      <c r="E16" s="1" t="n">
        <v>46309</v>
      </c>
      <c r="F16" t="inlineStr">
        <is>
          <t>SKÅNE LÄN</t>
        </is>
      </c>
      <c r="G16" t="inlineStr">
        <is>
          <t>BÅSTAD</t>
        </is>
      </c>
      <c r="H16" t="inlineStr">
        <is>
          <t>Kommuner</t>
        </is>
      </c>
      <c r="I16" t="n">
        <v>1.8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s="2" t="inlineStr"/>
    </row>
    <row r="17" ht="15" customHeight="1">
      <c r="A17" t="inlineStr">
        <is>
          <t>A 32610-2024</t>
        </is>
      </c>
      <c r="B17" t="inlineStr">
        <is>
          <t>avverkningsanmälan</t>
        </is>
      </c>
      <c r="C17" t="inlineStr">
        <is>
          <t>Avverkning för annat ändamål</t>
        </is>
      </c>
      <c r="D17" s="1" t="n">
        <v>45513</v>
      </c>
      <c r="E17" s="1" t="n">
        <v>46309</v>
      </c>
      <c r="F17" t="inlineStr">
        <is>
          <t>SKÅNE LÄN</t>
        </is>
      </c>
      <c r="G17" t="inlineStr">
        <is>
          <t>BÅSTAD</t>
        </is>
      </c>
      <c r="I17" t="n">
        <v>0.5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s="2" t="inlineStr"/>
    </row>
    <row r="18" ht="15" customHeight="1">
      <c r="A18" t="inlineStr">
        <is>
          <t>A 34400-2025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45846</v>
      </c>
      <c r="E18" s="1" t="n">
        <v>46309</v>
      </c>
      <c r="F18" t="inlineStr">
        <is>
          <t>SKÅNE LÄN</t>
        </is>
      </c>
      <c r="G18" t="inlineStr">
        <is>
          <t>BÅSTAD</t>
        </is>
      </c>
      <c r="I18" t="n">
        <v>1.3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s="2" t="inlineStr"/>
    </row>
    <row r="19" ht="15" customHeight="1">
      <c r="A19" t="inlineStr">
        <is>
          <t>A 635-2023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44930</v>
      </c>
      <c r="E19" s="1" t="n">
        <v>46309</v>
      </c>
      <c r="F19" t="inlineStr">
        <is>
          <t>SKÅNE LÄN</t>
        </is>
      </c>
      <c r="G19" t="inlineStr">
        <is>
          <t>BÅSTAD</t>
        </is>
      </c>
      <c r="I19" t="n">
        <v>0.5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48181-2024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45589</v>
      </c>
      <c r="E20" s="1" t="n">
        <v>46309</v>
      </c>
      <c r="F20" t="inlineStr">
        <is>
          <t>SKÅNE LÄN</t>
        </is>
      </c>
      <c r="G20" t="inlineStr">
        <is>
          <t>BÅSTAD</t>
        </is>
      </c>
      <c r="I20" t="n">
        <v>0.7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7731-2026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46062</v>
      </c>
      <c r="E21" s="1" t="n">
        <v>46309</v>
      </c>
      <c r="F21" t="inlineStr">
        <is>
          <t>SKÅNE LÄN</t>
        </is>
      </c>
      <c r="G21" t="inlineStr">
        <is>
          <t>BÅSTAD</t>
        </is>
      </c>
      <c r="I21" t="n">
        <v>5.9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5817-2025</t>
        </is>
      </c>
      <c r="B22" t="inlineStr">
        <is>
          <t>avverkningsanmälan</t>
        </is>
      </c>
      <c r="C22" t="inlineStr">
        <is>
          <t>Avverkning för att bevara och utveckla /försöksver</t>
        </is>
      </c>
      <c r="D22" s="1" t="n">
        <v>45694</v>
      </c>
      <c r="E22" s="1" t="n">
        <v>46309</v>
      </c>
      <c r="F22" t="inlineStr">
        <is>
          <t>SKÅNE LÄN</t>
        </is>
      </c>
      <c r="G22" t="inlineStr">
        <is>
          <t>BÅSTAD</t>
        </is>
      </c>
      <c r="I22" t="n">
        <v>1.2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16624-2026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46112</v>
      </c>
      <c r="E23" s="1" t="n">
        <v>46309</v>
      </c>
      <c r="F23" t="inlineStr">
        <is>
          <t>SKÅNE LÄN</t>
        </is>
      </c>
      <c r="G23" t="inlineStr">
        <is>
          <t>BÅSTAD</t>
        </is>
      </c>
      <c r="I23" t="n">
        <v>0.7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24-2023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44928</v>
      </c>
      <c r="E24" s="1" t="n">
        <v>46309</v>
      </c>
      <c r="F24" t="inlineStr">
        <is>
          <t>SKÅNE LÄN</t>
        </is>
      </c>
      <c r="G24" t="inlineStr">
        <is>
          <t>BÅSTAD</t>
        </is>
      </c>
      <c r="I24" t="n">
        <v>0.5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21572-2023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45063</v>
      </c>
      <c r="E25" s="1" t="n">
        <v>46309</v>
      </c>
      <c r="F25" t="inlineStr">
        <is>
          <t>SKÅNE LÄN</t>
        </is>
      </c>
      <c r="G25" t="inlineStr">
        <is>
          <t>BÅSTAD</t>
        </is>
      </c>
      <c r="I25" t="n">
        <v>1.7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28260-2023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45099</v>
      </c>
      <c r="E26" s="1" t="n">
        <v>46309</v>
      </c>
      <c r="F26" t="inlineStr">
        <is>
          <t>SKÅNE LÄN</t>
        </is>
      </c>
      <c r="G26" t="inlineStr">
        <is>
          <t>BÅSTAD</t>
        </is>
      </c>
      <c r="I26" t="n">
        <v>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4481-2024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45327</v>
      </c>
      <c r="E27" s="1" t="n">
        <v>46309</v>
      </c>
      <c r="F27" t="inlineStr">
        <is>
          <t>SKÅNE LÄN</t>
        </is>
      </c>
      <c r="G27" t="inlineStr">
        <is>
          <t>BÅSTAD</t>
        </is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18434-2023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45042</v>
      </c>
      <c r="E28" s="1" t="n">
        <v>46309</v>
      </c>
      <c r="F28" t="inlineStr">
        <is>
          <t>SKÅNE LÄN</t>
        </is>
      </c>
      <c r="G28" t="inlineStr">
        <is>
          <t>BÅSTAD</t>
        </is>
      </c>
      <c r="I28" t="n">
        <v>0.7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4487-2024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45327</v>
      </c>
      <c r="E29" s="1" t="n">
        <v>46309</v>
      </c>
      <c r="F29" t="inlineStr">
        <is>
          <t>SKÅNE LÄN</t>
        </is>
      </c>
      <c r="G29" t="inlineStr">
        <is>
          <t>BÅSTAD</t>
        </is>
      </c>
      <c r="I29" t="n">
        <v>1.9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18327-2025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45762</v>
      </c>
      <c r="E30" s="1" t="n">
        <v>46309</v>
      </c>
      <c r="F30" t="inlineStr">
        <is>
          <t>SKÅNE LÄN</t>
        </is>
      </c>
      <c r="G30" t="inlineStr">
        <is>
          <t>BÅSTAD</t>
        </is>
      </c>
      <c r="I30" t="n">
        <v>0.6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28854-2026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46198</v>
      </c>
      <c r="E31" s="1" t="n">
        <v>46309</v>
      </c>
      <c r="F31" t="inlineStr">
        <is>
          <t>SKÅNE LÄN</t>
        </is>
      </c>
      <c r="G31" t="inlineStr">
        <is>
          <t>BÅSTAD</t>
        </is>
      </c>
      <c r="I31" t="n">
        <v>1.9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4493-2024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45327</v>
      </c>
      <c r="E32" s="1" t="n">
        <v>46309</v>
      </c>
      <c r="F32" t="inlineStr">
        <is>
          <t>SKÅNE LÄN</t>
        </is>
      </c>
      <c r="G32" t="inlineStr">
        <is>
          <t>BÅSTAD</t>
        </is>
      </c>
      <c r="I32" t="n">
        <v>1.8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31550-2026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46223</v>
      </c>
      <c r="E33" s="1" t="n">
        <v>46309</v>
      </c>
      <c r="F33" t="inlineStr">
        <is>
          <t>SKÅNE LÄN</t>
        </is>
      </c>
      <c r="G33" t="inlineStr">
        <is>
          <t>BÅSTAD</t>
        </is>
      </c>
      <c r="I33" t="n">
        <v>1.9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>
      <c r="A34" t="inlineStr">
        <is>
          <t>S 4386-2022</t>
        </is>
      </c>
      <c r="B34" t="inlineStr">
        <is>
          <t>samrådsanmälan</t>
        </is>
      </c>
      <c r="C34" t="inlineStr">
        <is>
          <t>Askåterföring</t>
        </is>
      </c>
      <c r="D34" s="1" t="n">
        <v>44783</v>
      </c>
      <c r="E34" s="1" t="n">
        <v>46309</v>
      </c>
      <c r="F34" t="inlineStr">
        <is>
          <t>SKÅNE LÄN</t>
        </is>
      </c>
      <c r="G34" t="inlineStr">
        <is>
          <t>BÅSTAD</t>
        </is>
      </c>
      <c r="I34" t="n">
        <v>21.9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2026-10-14T02:01:04Z</dcterms:created>
  <dcterms:modified xmlns:dcterms="http://purl.org/dc/terms/" xmlns:xsi="http://www.w3.org/2001/XMLSchema-instance" xsi:type="dcterms:W3CDTF">2026-10-14T02:01:05Z</dcterms:modified>
</cp:coreProperties>
</file>