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46202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11517-2024</t>
        </is>
      </c>
      <c r="B3" s="1" t="n">
        <v>45372</v>
      </c>
      <c r="C3" s="1" t="n">
        <v>46202</v>
      </c>
      <c r="D3" t="inlineStr">
        <is>
          <t>SKÅNE LÄN</t>
        </is>
      </c>
      <c r="E3" t="inlineStr">
        <is>
          <t>BÅSTAD</t>
        </is>
      </c>
      <c r="G3" t="n">
        <v>0.7</v>
      </c>
      <c r="H3" t="n">
        <v>2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Tvåblad
Grönvit nattviol</t>
        </is>
      </c>
      <c r="S3">
        <f>HYPERLINK("https://klasma.github.io/Logging_1278/artfynd/A 11517-2024 artfynd.xlsx", "A 11517-2024")</f>
        <v/>
      </c>
      <c r="T3">
        <f>HYPERLINK("https://klasma.github.io/Logging_1278/kartor/A 11517-2024 karta.png", "A 11517-2024")</f>
        <v/>
      </c>
      <c r="V3">
        <f>HYPERLINK("https://klasma.github.io/Logging_1278/klagomål/A 11517-2024 FSC-klagomål.docx", "A 11517-2024")</f>
        <v/>
      </c>
      <c r="W3">
        <f>HYPERLINK("https://klasma.github.io/Logging_1278/klagomålsmail/A 11517-2024 FSC-klagomål mail.docx", "A 11517-2024")</f>
        <v/>
      </c>
      <c r="X3">
        <f>HYPERLINK("https://klasma.github.io/Logging_1278/tillsyn/A 11517-2024 tillsynsbegäran.docx", "A 11517-2024")</f>
        <v/>
      </c>
      <c r="Y3">
        <f>HYPERLINK("https://klasma.github.io/Logging_1278/tillsynsmail/A 11517-2024 tillsynsbegäran mail.docx", "A 11517-2024")</f>
        <v/>
      </c>
    </row>
    <row r="4" ht="15" customHeight="1">
      <c r="A4" t="inlineStr">
        <is>
          <t>A 2943-2023</t>
        </is>
      </c>
      <c r="B4" s="1" t="n">
        <v>44945</v>
      </c>
      <c r="C4" s="1" t="n">
        <v>46202</v>
      </c>
      <c r="D4" t="inlineStr">
        <is>
          <t>SKÅNE LÄN</t>
        </is>
      </c>
      <c r="E4" t="inlineStr">
        <is>
          <t>BÅSTAD</t>
        </is>
      </c>
      <c r="G4" t="n">
        <v>11.3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Sårläka
Grönvit nattviol</t>
        </is>
      </c>
      <c r="S4">
        <f>HYPERLINK("https://klasma.github.io/Logging_1278/artfynd/A 2943-2023 artfynd.xlsx", "A 2943-2023")</f>
        <v/>
      </c>
      <c r="T4">
        <f>HYPERLINK("https://klasma.github.io/Logging_1278/kartor/A 2943-2023 karta.png", "A 2943-2023")</f>
        <v/>
      </c>
      <c r="V4">
        <f>HYPERLINK("https://klasma.github.io/Logging_1278/klagomål/A 2943-2023 FSC-klagomål.docx", "A 2943-2023")</f>
        <v/>
      </c>
      <c r="W4">
        <f>HYPERLINK("https://klasma.github.io/Logging_1278/klagomålsmail/A 2943-2023 FSC-klagomål mail.docx", "A 2943-2023")</f>
        <v/>
      </c>
      <c r="X4">
        <f>HYPERLINK("https://klasma.github.io/Logging_1278/tillsyn/A 2943-2023 tillsynsbegäran.docx", "A 2943-2023")</f>
        <v/>
      </c>
      <c r="Y4">
        <f>HYPERLINK("https://klasma.github.io/Logging_1278/tillsynsmail/A 2943-2023 tillsynsbegäran mail.docx", "A 2943-2023")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46202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46202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18332-2025</t>
        </is>
      </c>
      <c r="B7" s="1" t="n">
        <v>45762</v>
      </c>
      <c r="C7" s="1" t="n">
        <v>46202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Källmossa</t>
        </is>
      </c>
      <c r="S7">
        <f>HYPERLINK("https://klasma.github.io/Logging_1278/artfynd/A 18332-2025 artfynd.xlsx", "A 18332-2025")</f>
        <v/>
      </c>
      <c r="T7">
        <f>HYPERLINK("https://klasma.github.io/Logging_1278/kartor/A 18332-2025 karta.png", "A 18332-2025")</f>
        <v/>
      </c>
      <c r="V7">
        <f>HYPERLINK("https://klasma.github.io/Logging_1278/klagomål/A 18332-2025 FSC-klagomål.docx", "A 18332-2025")</f>
        <v/>
      </c>
      <c r="W7">
        <f>HYPERLINK("https://klasma.github.io/Logging_1278/klagomålsmail/A 18332-2025 FSC-klagomål mail.docx", "A 18332-2025")</f>
        <v/>
      </c>
      <c r="X7">
        <f>HYPERLINK("https://klasma.github.io/Logging_1278/tillsyn/A 18332-2025 tillsynsbegäran.docx", "A 18332-2025")</f>
        <v/>
      </c>
      <c r="Y7">
        <f>HYPERLINK("https://klasma.github.io/Logging_1278/tillsynsmail/A 18332-2025 tillsynsbegäran mail.docx", "A 18332-2025")</f>
        <v/>
      </c>
    </row>
    <row r="8" ht="15" customHeight="1">
      <c r="A8" t="inlineStr">
        <is>
          <t>A 389-2023</t>
        </is>
      </c>
      <c r="B8" s="1" t="n">
        <v>44929</v>
      </c>
      <c r="C8" s="1" t="n">
        <v>46202</v>
      </c>
      <c r="D8" t="inlineStr">
        <is>
          <t>SKÅNE LÄN</t>
        </is>
      </c>
      <c r="E8" t="inlineStr">
        <is>
          <t>BÅSTAD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HYPERLINK("https://klasma.github.io/Logging_1278/artfynd/A 389-2023 artfynd.xlsx", "A 389-2023")</f>
        <v/>
      </c>
      <c r="T8">
        <f>HYPERLINK("https://klasma.github.io/Logging_1278/kartor/A 389-2023 karta.png", "A 389-2023")</f>
        <v/>
      </c>
      <c r="V8">
        <f>HYPERLINK("https://klasma.github.io/Logging_1278/klagomål/A 389-2023 FSC-klagomål.docx", "A 389-2023")</f>
        <v/>
      </c>
      <c r="W8">
        <f>HYPERLINK("https://klasma.github.io/Logging_1278/klagomålsmail/A 389-2023 FSC-klagomål mail.docx", "A 389-2023")</f>
        <v/>
      </c>
      <c r="X8">
        <f>HYPERLINK("https://klasma.github.io/Logging_1278/tillsyn/A 389-2023 tillsynsbegäran.docx", "A 389-2023")</f>
        <v/>
      </c>
      <c r="Y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s="1" t="n">
        <v>45762</v>
      </c>
      <c r="C9" s="1" t="n">
        <v>46202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Törnskata</t>
        </is>
      </c>
      <c r="S9">
        <f>HYPERLINK("https://klasma.github.io/Logging_1278/artfynd/A 18328-2025 artfynd.xlsx", "A 18328-2025")</f>
        <v/>
      </c>
      <c r="T9">
        <f>HYPERLINK("https://klasma.github.io/Logging_1278/kartor/A 18328-2025 karta.png", "A 18328-2025")</f>
        <v/>
      </c>
      <c r="V9">
        <f>HYPERLINK("https://klasma.github.io/Logging_1278/klagomål/A 18328-2025 FSC-klagomål.docx", "A 18328-2025")</f>
        <v/>
      </c>
      <c r="W9">
        <f>HYPERLINK("https://klasma.github.io/Logging_1278/klagomålsmail/A 18328-2025 FSC-klagomål mail.docx", "A 18328-2025")</f>
        <v/>
      </c>
      <c r="X9">
        <f>HYPERLINK("https://klasma.github.io/Logging_1278/tillsyn/A 18328-2025 tillsynsbegäran.docx", "A 18328-2025")</f>
        <v/>
      </c>
      <c r="Y9">
        <f>HYPERLINK("https://klasma.github.io/Logging_1278/tillsynsmail/A 18328-2025 tillsynsbegäran mail.docx", "A 18328-2025")</f>
        <v/>
      </c>
      <c r="Z9">
        <f>HYPERLINK("https://klasma.github.io/Logging_1278/fåglar/A 18328-2025 prioriterade fågelarter.docx", "A 18328-2025")</f>
        <v/>
      </c>
    </row>
    <row r="10" ht="15" customHeight="1">
      <c r="A10" t="inlineStr">
        <is>
          <t>A 4481-2024</t>
        </is>
      </c>
      <c r="B10" s="1" t="n">
        <v>45327</v>
      </c>
      <c r="C10" s="1" t="n">
        <v>46202</v>
      </c>
      <c r="D10" t="inlineStr">
        <is>
          <t>SKÅNE LÄN</t>
        </is>
      </c>
      <c r="E10" t="inlineStr">
        <is>
          <t>BÅSTAD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4822-2023</t>
        </is>
      </c>
      <c r="B11" s="1" t="n">
        <v>44957</v>
      </c>
      <c r="C11" s="1" t="n">
        <v>46202</v>
      </c>
      <c r="D11" t="inlineStr">
        <is>
          <t>SKÅNE LÄN</t>
        </is>
      </c>
      <c r="E11" t="inlineStr">
        <is>
          <t>BÅSTAD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18327-2025</t>
        </is>
      </c>
      <c r="B12" s="1" t="n">
        <v>45762</v>
      </c>
      <c r="C12" s="1" t="n">
        <v>46202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46202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1531-2022</t>
        </is>
      </c>
      <c r="B14" s="1" t="n">
        <v>44573</v>
      </c>
      <c r="C14" s="1" t="n">
        <v>46202</v>
      </c>
      <c r="D14" t="inlineStr">
        <is>
          <t>SKÅNE LÄN</t>
        </is>
      </c>
      <c r="E14" t="inlineStr">
        <is>
          <t>BÅSTAD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4256-2025</t>
        </is>
      </c>
      <c r="B15" s="1" t="n">
        <v>45685</v>
      </c>
      <c r="C15" s="1" t="n">
        <v>46202</v>
      </c>
      <c r="D15" t="inlineStr">
        <is>
          <t>SKÅNE LÄN</t>
        </is>
      </c>
      <c r="E15" t="inlineStr">
        <is>
          <t>BÅSTAD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46202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46202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46202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46202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48181-2024</t>
        </is>
      </c>
      <c r="B20" s="1" t="n">
        <v>45589</v>
      </c>
      <c r="C20" s="1" t="n">
        <v>46202</v>
      </c>
      <c r="D20" t="inlineStr">
        <is>
          <t>SKÅNE LÄN</t>
        </is>
      </c>
      <c r="E20" t="inlineStr">
        <is>
          <t>BÅSTAD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53131-2021</t>
        </is>
      </c>
      <c r="B21" s="1" t="n">
        <v>44468</v>
      </c>
      <c r="C21" s="1" t="n">
        <v>46202</v>
      </c>
      <c r="D21" t="inlineStr">
        <is>
          <t>SKÅNE LÄN</t>
        </is>
      </c>
      <c r="E21" t="inlineStr">
        <is>
          <t>BÅSTAD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10710-2025</t>
        </is>
      </c>
      <c r="B22" s="1" t="n">
        <v>45722</v>
      </c>
      <c r="C22" s="1" t="n">
        <v>46202</v>
      </c>
      <c r="D22" t="inlineStr">
        <is>
          <t>SKÅNE LÄN</t>
        </is>
      </c>
      <c r="E22" t="inlineStr">
        <is>
          <t>BÅSTAD</t>
        </is>
      </c>
      <c r="F22" t="inlineStr">
        <is>
          <t>Kommuner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46202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</v>
      </c>
      <c r="C24" s="1" t="n">
        <v>46202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24-2023</t>
        </is>
      </c>
      <c r="B25" s="1" t="n">
        <v>44928</v>
      </c>
      <c r="C25" s="1" t="n">
        <v>46202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46202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4493-2024</t>
        </is>
      </c>
      <c r="B27" s="1" t="n">
        <v>45327</v>
      </c>
      <c r="C27" s="1" t="n">
        <v>46202</v>
      </c>
      <c r="D27" t="inlineStr">
        <is>
          <t>SKÅNE LÄN</t>
        </is>
      </c>
      <c r="E27" t="inlineStr">
        <is>
          <t>BÅSTAD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5817-2025</t>
        </is>
      </c>
      <c r="B28" s="1" t="n">
        <v>45694</v>
      </c>
      <c r="C28" s="1" t="n">
        <v>46202</v>
      </c>
      <c r="D28" t="inlineStr">
        <is>
          <t>SKÅNE LÄN</t>
        </is>
      </c>
      <c r="E28" t="inlineStr">
        <is>
          <t>BÅSTAD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7727-2026</t>
        </is>
      </c>
      <c r="B29" s="1" t="n">
        <v>46062</v>
      </c>
      <c r="C29" s="1" t="n">
        <v>46202</v>
      </c>
      <c r="D29" t="inlineStr">
        <is>
          <t>SKÅNE LÄN</t>
        </is>
      </c>
      <c r="E29" t="inlineStr">
        <is>
          <t>BÅSTAD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7731-2026</t>
        </is>
      </c>
      <c r="B30" s="1" t="n">
        <v>46062</v>
      </c>
      <c r="C30" s="1" t="n">
        <v>46202</v>
      </c>
      <c r="D30" t="inlineStr">
        <is>
          <t>SKÅNE LÄN</t>
        </is>
      </c>
      <c r="E30" t="inlineStr">
        <is>
          <t>BÅSTAD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16624-2026</t>
        </is>
      </c>
      <c r="B31" s="1" t="n">
        <v>46112</v>
      </c>
      <c r="C31" s="1" t="n">
        <v>46202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28854-2026</t>
        </is>
      </c>
      <c r="B32" s="1" t="n">
        <v>46198</v>
      </c>
      <c r="C32" s="1" t="n">
        <v>46202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2026-06-29T00:58:24Z</dcterms:created>
  <dcterms:modified xmlns:dcterms="http://purl.org/dc/terms/" xmlns:xsi="http://www.w3.org/2001/XMLSchema-instance" xsi:type="dcterms:W3CDTF">2026-06-29T00:58:24Z</dcterms:modified>
</cp:coreProperties>
</file>