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18197-2020</t>
        </is>
      </c>
      <c r="B2" s="1" t="n">
        <v>43927</v>
      </c>
      <c r="C2" s="1" t="n">
        <v>45812</v>
      </c>
      <c r="D2" t="inlineStr">
        <is>
          <t>SKÅNE LÄN</t>
        </is>
      </c>
      <c r="E2" t="inlineStr">
        <is>
          <t>BÅSTAD</t>
        </is>
      </c>
      <c r="G2" t="n">
        <v>3.2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Guldlockmossa
Stubbspretmossa
Västlig hakmossa</t>
        </is>
      </c>
      <c r="S2">
        <f>HYPERLINK("https://klasma.github.io/Logging_1278/artfynd/A 18197-2020 artfynd.xlsx", "A 18197-2020")</f>
        <v/>
      </c>
      <c r="T2">
        <f>HYPERLINK("https://klasma.github.io/Logging_1278/kartor/A 18197-2020 karta.png", "A 18197-2020")</f>
        <v/>
      </c>
      <c r="V2">
        <f>HYPERLINK("https://klasma.github.io/Logging_1278/klagomål/A 18197-2020 FSC-klagomål.docx", "A 18197-2020")</f>
        <v/>
      </c>
      <c r="W2">
        <f>HYPERLINK("https://klasma.github.io/Logging_1278/klagomålsmail/A 18197-2020 FSC-klagomål mail.docx", "A 18197-2020")</f>
        <v/>
      </c>
      <c r="X2">
        <f>HYPERLINK("https://klasma.github.io/Logging_1278/tillsyn/A 18197-2020 tillsynsbegäran.docx", "A 18197-2020")</f>
        <v/>
      </c>
      <c r="Y2">
        <f>HYPERLINK("https://klasma.github.io/Logging_1278/tillsynsmail/A 18197-2020 tillsynsbegäran mail.docx", "A 18197-2020")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45812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18319-2025</t>
        </is>
      </c>
      <c r="B4" s="1" t="n">
        <v>45762</v>
      </c>
      <c r="C4" s="1" t="n">
        <v>45812</v>
      </c>
      <c r="D4" t="inlineStr">
        <is>
          <t>SKÅNE LÄN</t>
        </is>
      </c>
      <c r="E4" t="inlineStr">
        <is>
          <t>BÅSTAD</t>
        </is>
      </c>
      <c r="G4" t="n">
        <v>3.4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Igelkott
Korallrot
Källpraktmossa</t>
        </is>
      </c>
      <c r="S4">
        <f>HYPERLINK("https://klasma.github.io/Logging_121278/artfynd/A 18319-2025 artfynd.xlsx", "A 18319-2025")</f>
        <v/>
      </c>
      <c r="T4">
        <f>HYPERLINK("https://klasma.github.io/Logging_121278/kartor/A 18319-2025 karta.png", "A 18319-2025")</f>
        <v/>
      </c>
      <c r="V4">
        <f>HYPERLINK("https://klasma.github.io/Logging_121278/klagomål/A 18319-2025 FSC-klagomål.docx", "A 18319-2025")</f>
        <v/>
      </c>
      <c r="W4">
        <f>HYPERLINK("https://klasma.github.io/Logging_121278/klagomålsmail/A 18319-2025 FSC-klagomål mail.docx", "A 18319-2025")</f>
        <v/>
      </c>
      <c r="X4">
        <f>HYPERLINK("https://klasma.github.io/Logging_121278/tillsyn/A 18319-2025 tillsynsbegäran.docx", "A 18319-2025")</f>
        <v/>
      </c>
      <c r="Y4">
        <f>HYPERLINK("https://klasma.github.io/Logging_121278/tillsynsmail/A 18319-2025 tillsynsbegäran mail.docx", "A 18319-2025")</f>
        <v/>
      </c>
    </row>
    <row r="5" ht="15" customHeight="1">
      <c r="A5" t="inlineStr">
        <is>
          <t>A 8065-2025</t>
        </is>
      </c>
      <c r="B5" s="1" t="n">
        <v>45707</v>
      </c>
      <c r="C5" s="1" t="n">
        <v>45812</v>
      </c>
      <c r="D5" t="inlineStr">
        <is>
          <t>SKÅNE LÄN</t>
        </is>
      </c>
      <c r="E5" t="inlineStr">
        <is>
          <t>BÅSTAD</t>
        </is>
      </c>
      <c r="G5" t="n">
        <v>3.3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Småvänderot
Svinrot</t>
        </is>
      </c>
      <c r="S5">
        <f>HYPERLINK("https://klasma.github.io/Logging_1278/artfynd/A 8065-2025 artfynd.xlsx", "A 8065-2025")</f>
        <v/>
      </c>
      <c r="T5">
        <f>HYPERLINK("https://klasma.github.io/Logging_1278/kartor/A 8065-2025 karta.png", "A 8065-2025")</f>
        <v/>
      </c>
      <c r="V5">
        <f>HYPERLINK("https://klasma.github.io/Logging_1278/klagomål/A 8065-2025 FSC-klagomål.docx", "A 8065-2025")</f>
        <v/>
      </c>
      <c r="W5">
        <f>HYPERLINK("https://klasma.github.io/Logging_1278/klagomålsmail/A 8065-2025 FSC-klagomål mail.docx", "A 8065-2025")</f>
        <v/>
      </c>
      <c r="X5">
        <f>HYPERLINK("https://klasma.github.io/Logging_1278/tillsyn/A 8065-2025 tillsynsbegäran.docx", "A 8065-2025")</f>
        <v/>
      </c>
      <c r="Y5">
        <f>HYPERLINK("https://klasma.github.io/Logging_1278/tillsynsmail/A 8065-2025 tillsynsbegäran mail.docx", "A 8065-2025")</f>
        <v/>
      </c>
    </row>
    <row r="6" ht="15" customHeight="1">
      <c r="A6" t="inlineStr">
        <is>
          <t>A 389-2023</t>
        </is>
      </c>
      <c r="B6" s="1" t="n">
        <v>44929</v>
      </c>
      <c r="C6" s="1" t="n">
        <v>45812</v>
      </c>
      <c r="D6" t="inlineStr">
        <is>
          <t>SKÅNE LÄN</t>
        </is>
      </c>
      <c r="E6" t="inlineStr">
        <is>
          <t>BÅSTAD</t>
        </is>
      </c>
      <c r="G6" t="n">
        <v>2.5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Grönvit nattviol</t>
        </is>
      </c>
      <c r="S6">
        <f>HYPERLINK("https://klasma.github.io/Logging_1278/artfynd/A 389-2023 artfynd.xlsx", "A 389-2023")</f>
        <v/>
      </c>
      <c r="T6">
        <f>HYPERLINK("https://klasma.github.io/Logging_1278/kartor/A 389-2023 karta.png", "A 389-2023")</f>
        <v/>
      </c>
      <c r="V6">
        <f>HYPERLINK("https://klasma.github.io/Logging_1278/klagomål/A 389-2023 FSC-klagomål.docx", "A 389-2023")</f>
        <v/>
      </c>
      <c r="W6">
        <f>HYPERLINK("https://klasma.github.io/Logging_1278/klagomålsmail/A 389-2023 FSC-klagomål mail.docx", "A 389-2023")</f>
        <v/>
      </c>
      <c r="X6">
        <f>HYPERLINK("https://klasma.github.io/Logging_1278/tillsyn/A 389-2023 tillsynsbegäran.docx", "A 389-2023")</f>
        <v/>
      </c>
      <c r="Y6">
        <f>HYPERLINK("https://klasma.github.io/Logging_1278/tillsynsmail/A 389-2023 tillsynsbegäran mail.docx", "A 389-2023")</f>
        <v/>
      </c>
    </row>
    <row r="7" ht="15" customHeight="1">
      <c r="A7" t="inlineStr">
        <is>
          <t>A 1782-2024</t>
        </is>
      </c>
      <c r="B7" s="1" t="n">
        <v>45307</v>
      </c>
      <c r="C7" s="1" t="n">
        <v>45812</v>
      </c>
      <c r="D7" t="inlineStr">
        <is>
          <t>SKÅNE LÄN</t>
        </is>
      </c>
      <c r="E7" t="inlineStr">
        <is>
          <t>BÅSTAD</t>
        </is>
      </c>
      <c r="G7" t="n">
        <v>2.7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HYPERLINK("https://klasma.github.io/Logging_1278/artfynd/A 1782-2024 artfynd.xlsx", "A 1782-2024")</f>
        <v/>
      </c>
      <c r="T7">
        <f>HYPERLINK("https://klasma.github.io/Logging_1278/kartor/A 1782-2024 karta.png", "A 1782-2024")</f>
        <v/>
      </c>
      <c r="V7">
        <f>HYPERLINK("https://klasma.github.io/Logging_1278/klagomål/A 1782-2024 FSC-klagomål.docx", "A 1782-2024")</f>
        <v/>
      </c>
      <c r="W7">
        <f>HYPERLINK("https://klasma.github.io/Logging_1278/klagomålsmail/A 1782-2024 FSC-klagomål mail.docx", "A 1782-2024")</f>
        <v/>
      </c>
      <c r="X7">
        <f>HYPERLINK("https://klasma.github.io/Logging_1278/tillsyn/A 1782-2024 tillsynsbegäran.docx", "A 1782-2024")</f>
        <v/>
      </c>
      <c r="Y7">
        <f>HYPERLINK("https://klasma.github.io/Logging_1278/tillsynsmail/A 1782-2024 tillsynsbegäran mail.docx", "A 1782-2024")</f>
        <v/>
      </c>
    </row>
    <row r="8" ht="15" customHeight="1">
      <c r="A8" t="inlineStr">
        <is>
          <t>A 29007-2019</t>
        </is>
      </c>
      <c r="B8" s="1" t="n">
        <v>43628</v>
      </c>
      <c r="C8" s="1" t="n">
        <v>45812</v>
      </c>
      <c r="D8" t="inlineStr">
        <is>
          <t>SKÅNE LÄN</t>
        </is>
      </c>
      <c r="E8" t="inlineStr">
        <is>
          <t>BÅSTAD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2555-2020</t>
        </is>
      </c>
      <c r="B9" s="1" t="n">
        <v>43847</v>
      </c>
      <c r="C9" s="1" t="n">
        <v>45812</v>
      </c>
      <c r="D9" t="inlineStr">
        <is>
          <t>SKÅNE LÄN</t>
        </is>
      </c>
      <c r="E9" t="inlineStr">
        <is>
          <t>BÅSTAD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11050-2020</t>
        </is>
      </c>
      <c r="B10" s="1" t="n">
        <v>43889</v>
      </c>
      <c r="C10" s="1" t="n">
        <v>45812</v>
      </c>
      <c r="D10" t="inlineStr">
        <is>
          <t>SKÅNE LÄN</t>
        </is>
      </c>
      <c r="E10" t="inlineStr">
        <is>
          <t>BÅSTAD</t>
        </is>
      </c>
      <c r="G10" t="n">
        <v>6.1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12501-2020</t>
        </is>
      </c>
      <c r="B11" s="1" t="n">
        <v>43896</v>
      </c>
      <c r="C11" s="1" t="n">
        <v>45812</v>
      </c>
      <c r="D11" t="inlineStr">
        <is>
          <t>SKÅNE LÄN</t>
        </is>
      </c>
      <c r="E11" t="inlineStr">
        <is>
          <t>BÅSTAD</t>
        </is>
      </c>
      <c r="G11" t="n">
        <v>11.8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18198-2020</t>
        </is>
      </c>
      <c r="B12" s="1" t="n">
        <v>43927</v>
      </c>
      <c r="C12" s="1" t="n">
        <v>45812</v>
      </c>
      <c r="D12" t="inlineStr">
        <is>
          <t>SKÅNE LÄN</t>
        </is>
      </c>
      <c r="E12" t="inlineStr">
        <is>
          <t>BÅSTAD</t>
        </is>
      </c>
      <c r="G12" t="n">
        <v>6.5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69190-2020</t>
        </is>
      </c>
      <c r="B13" s="1" t="n">
        <v>44191</v>
      </c>
      <c r="C13" s="1" t="n">
        <v>45812</v>
      </c>
      <c r="D13" t="inlineStr">
        <is>
          <t>SKÅNE LÄN</t>
        </is>
      </c>
      <c r="E13" t="inlineStr">
        <is>
          <t>BÅSTAD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6170-2021</t>
        </is>
      </c>
      <c r="B14" s="1" t="n">
        <v>44232</v>
      </c>
      <c r="C14" s="1" t="n">
        <v>45812</v>
      </c>
      <c r="D14" t="inlineStr">
        <is>
          <t>SKÅNE LÄN</t>
        </is>
      </c>
      <c r="E14" t="inlineStr">
        <is>
          <t>BÅSTAD</t>
        </is>
      </c>
      <c r="G14" t="n">
        <v>5.1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29245-2021</t>
        </is>
      </c>
      <c r="B15" s="1" t="n">
        <v>44361</v>
      </c>
      <c r="C15" s="1" t="n">
        <v>45812</v>
      </c>
      <c r="D15" t="inlineStr">
        <is>
          <t>SKÅNE LÄN</t>
        </is>
      </c>
      <c r="E15" t="inlineStr">
        <is>
          <t>BÅSTAD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53130-2021</t>
        </is>
      </c>
      <c r="B16" s="1" t="n">
        <v>44468</v>
      </c>
      <c r="C16" s="1" t="n">
        <v>45812</v>
      </c>
      <c r="D16" t="inlineStr">
        <is>
          <t>SKÅNE LÄN</t>
        </is>
      </c>
      <c r="E16" t="inlineStr">
        <is>
          <t>BÅSTAD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53131-2021</t>
        </is>
      </c>
      <c r="B17" s="1" t="n">
        <v>44468</v>
      </c>
      <c r="C17" s="1" t="n">
        <v>45812</v>
      </c>
      <c r="D17" t="inlineStr">
        <is>
          <t>SKÅNE LÄN</t>
        </is>
      </c>
      <c r="E17" t="inlineStr">
        <is>
          <t>BÅSTAD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1524-2022</t>
        </is>
      </c>
      <c r="B18" s="1" t="n">
        <v>44573</v>
      </c>
      <c r="C18" s="1" t="n">
        <v>45812</v>
      </c>
      <c r="D18" t="inlineStr">
        <is>
          <t>SKÅNE LÄN</t>
        </is>
      </c>
      <c r="E18" t="inlineStr">
        <is>
          <t>BÅSTAD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1531-2022</t>
        </is>
      </c>
      <c r="B19" s="1" t="n">
        <v>44573</v>
      </c>
      <c r="C19" s="1" t="n">
        <v>45812</v>
      </c>
      <c r="D19" t="inlineStr">
        <is>
          <t>SKÅNE LÄN</t>
        </is>
      </c>
      <c r="E19" t="inlineStr">
        <is>
          <t>BÅSTAD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3727-2022</t>
        </is>
      </c>
      <c r="B20" s="1" t="n">
        <v>44586</v>
      </c>
      <c r="C20" s="1" t="n">
        <v>45812</v>
      </c>
      <c r="D20" t="inlineStr">
        <is>
          <t>SKÅNE LÄN</t>
        </is>
      </c>
      <c r="E20" t="inlineStr">
        <is>
          <t>BÅSTAD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38013-2022</t>
        </is>
      </c>
      <c r="B21" s="1" t="n">
        <v>44811</v>
      </c>
      <c r="C21" s="1" t="n">
        <v>45812</v>
      </c>
      <c r="D21" t="inlineStr">
        <is>
          <t>SKÅNE LÄN</t>
        </is>
      </c>
      <c r="E21" t="inlineStr">
        <is>
          <t>BÅSTAD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24-2023</t>
        </is>
      </c>
      <c r="B22" s="1" t="n">
        <v>44928</v>
      </c>
      <c r="C22" s="1" t="n">
        <v>45812</v>
      </c>
      <c r="D22" t="inlineStr">
        <is>
          <t>SKÅNE LÄN</t>
        </is>
      </c>
      <c r="E22" t="inlineStr">
        <is>
          <t>BÅSTAD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635-2023</t>
        </is>
      </c>
      <c r="B23" s="1" t="n">
        <v>44930</v>
      </c>
      <c r="C23" s="1" t="n">
        <v>45812</v>
      </c>
      <c r="D23" t="inlineStr">
        <is>
          <t>SKÅNE LÄN</t>
        </is>
      </c>
      <c r="E23" t="inlineStr">
        <is>
          <t>BÅSTAD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4822-2023</t>
        </is>
      </c>
      <c r="B24" s="1" t="n">
        <v>44957</v>
      </c>
      <c r="C24" s="1" t="n">
        <v>45812</v>
      </c>
      <c r="D24" t="inlineStr">
        <is>
          <t>SKÅNE LÄN</t>
        </is>
      </c>
      <c r="E24" t="inlineStr">
        <is>
          <t>BÅSTAD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18434-2023</t>
        </is>
      </c>
      <c r="B25" s="1" t="n">
        <v>45042</v>
      </c>
      <c r="C25" s="1" t="n">
        <v>45812</v>
      </c>
      <c r="D25" t="inlineStr">
        <is>
          <t>SKÅNE LÄN</t>
        </is>
      </c>
      <c r="E25" t="inlineStr">
        <is>
          <t>BÅSTAD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20579-2023</t>
        </is>
      </c>
      <c r="B26" s="1" t="n">
        <v>45057</v>
      </c>
      <c r="C26" s="1" t="n">
        <v>45812</v>
      </c>
      <c r="D26" t="inlineStr">
        <is>
          <t>SKÅNE LÄN</t>
        </is>
      </c>
      <c r="E26" t="inlineStr">
        <is>
          <t>BÅSTAD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21572-2023</t>
        </is>
      </c>
      <c r="B27" s="1" t="n">
        <v>45063</v>
      </c>
      <c r="C27" s="1" t="n">
        <v>45812</v>
      </c>
      <c r="D27" t="inlineStr">
        <is>
          <t>SKÅNE LÄN</t>
        </is>
      </c>
      <c r="E27" t="inlineStr">
        <is>
          <t>BÅSTAD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24466-2023</t>
        </is>
      </c>
      <c r="B28" s="1" t="n">
        <v>45082</v>
      </c>
      <c r="C28" s="1" t="n">
        <v>45812</v>
      </c>
      <c r="D28" t="inlineStr">
        <is>
          <t>SKÅNE LÄN</t>
        </is>
      </c>
      <c r="E28" t="inlineStr">
        <is>
          <t>BÅSTAD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28260-2023</t>
        </is>
      </c>
      <c r="B29" s="1" t="n">
        <v>45099</v>
      </c>
      <c r="C29" s="1" t="n">
        <v>45812</v>
      </c>
      <c r="D29" t="inlineStr">
        <is>
          <t>SKÅNE LÄN</t>
        </is>
      </c>
      <c r="E29" t="inlineStr">
        <is>
          <t>BÅSTAD</t>
        </is>
      </c>
      <c r="G29" t="n">
        <v>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46947-2023</t>
        </is>
      </c>
      <c r="B30" s="1" t="n">
        <v>45201</v>
      </c>
      <c r="C30" s="1" t="n">
        <v>45812</v>
      </c>
      <c r="D30" t="inlineStr">
        <is>
          <t>SKÅNE LÄN</t>
        </is>
      </c>
      <c r="E30" t="inlineStr">
        <is>
          <t>BÅSTAD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48974-2023</t>
        </is>
      </c>
      <c r="B31" s="1" t="n">
        <v>45209</v>
      </c>
      <c r="C31" s="1" t="n">
        <v>45812</v>
      </c>
      <c r="D31" t="inlineStr">
        <is>
          <t>SKÅNE LÄN</t>
        </is>
      </c>
      <c r="E31" t="inlineStr">
        <is>
          <t>BÅSTAD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1784-2024</t>
        </is>
      </c>
      <c r="B32" s="1" t="n">
        <v>45307</v>
      </c>
      <c r="C32" s="1" t="n">
        <v>45812</v>
      </c>
      <c r="D32" t="inlineStr">
        <is>
          <t>SKÅNE LÄN</t>
        </is>
      </c>
      <c r="E32" t="inlineStr">
        <is>
          <t>BÅSTAD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4481-2024</t>
        </is>
      </c>
      <c r="B33" s="1" t="n">
        <v>45327</v>
      </c>
      <c r="C33" s="1" t="n">
        <v>45812</v>
      </c>
      <c r="D33" t="inlineStr">
        <is>
          <t>SKÅNE LÄN</t>
        </is>
      </c>
      <c r="E33" t="inlineStr">
        <is>
          <t>BÅSTAD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4487-2024</t>
        </is>
      </c>
      <c r="B34" s="1" t="n">
        <v>45327</v>
      </c>
      <c r="C34" s="1" t="n">
        <v>45812</v>
      </c>
      <c r="D34" t="inlineStr">
        <is>
          <t>SKÅNE LÄN</t>
        </is>
      </c>
      <c r="E34" t="inlineStr">
        <is>
          <t>BÅSTAD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4493-2024</t>
        </is>
      </c>
      <c r="B35" s="1" t="n">
        <v>45327</v>
      </c>
      <c r="C35" s="1" t="n">
        <v>45812</v>
      </c>
      <c r="D35" t="inlineStr">
        <is>
          <t>SKÅNE LÄN</t>
        </is>
      </c>
      <c r="E35" t="inlineStr">
        <is>
          <t>BÅSTAD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4486-2024</t>
        </is>
      </c>
      <c r="B36" s="1" t="n">
        <v>45327</v>
      </c>
      <c r="C36" s="1" t="n">
        <v>45812</v>
      </c>
      <c r="D36" t="inlineStr">
        <is>
          <t>SKÅNE LÄN</t>
        </is>
      </c>
      <c r="E36" t="inlineStr">
        <is>
          <t>BÅSTAD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11517-2024</t>
        </is>
      </c>
      <c r="B37" s="1" t="n">
        <v>45372</v>
      </c>
      <c r="C37" s="1" t="n">
        <v>45812</v>
      </c>
      <c r="D37" t="inlineStr">
        <is>
          <t>SKÅNE LÄN</t>
        </is>
      </c>
      <c r="E37" t="inlineStr">
        <is>
          <t>BÅSTAD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15097-2024</t>
        </is>
      </c>
      <c r="B38" s="1" t="n">
        <v>45399</v>
      </c>
      <c r="C38" s="1" t="n">
        <v>45812</v>
      </c>
      <c r="D38" t="inlineStr">
        <is>
          <t>SKÅNE LÄN</t>
        </is>
      </c>
      <c r="E38" t="inlineStr">
        <is>
          <t>BÅSTAD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18899-2024</t>
        </is>
      </c>
      <c r="B39" s="1" t="n">
        <v>45427</v>
      </c>
      <c r="C39" s="1" t="n">
        <v>45812</v>
      </c>
      <c r="D39" t="inlineStr">
        <is>
          <t>SKÅNE LÄN</t>
        </is>
      </c>
      <c r="E39" t="inlineStr">
        <is>
          <t>BÅSTAD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32610-2024</t>
        </is>
      </c>
      <c r="B40" s="1" t="n">
        <v>45513</v>
      </c>
      <c r="C40" s="1" t="n">
        <v>45812</v>
      </c>
      <c r="D40" t="inlineStr">
        <is>
          <t>SKÅNE LÄN</t>
        </is>
      </c>
      <c r="E40" t="inlineStr">
        <is>
          <t>BÅSTAD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44161-2024</t>
        </is>
      </c>
      <c r="B41" s="1" t="n">
        <v>45572</v>
      </c>
      <c r="C41" s="1" t="n">
        <v>45812</v>
      </c>
      <c r="D41" t="inlineStr">
        <is>
          <t>SKÅNE LÄN</t>
        </is>
      </c>
      <c r="E41" t="inlineStr">
        <is>
          <t>BÅSTAD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48181-2024</t>
        </is>
      </c>
      <c r="B42" s="1" t="n">
        <v>45589</v>
      </c>
      <c r="C42" s="1" t="n">
        <v>45812</v>
      </c>
      <c r="D42" t="inlineStr">
        <is>
          <t>SKÅNE LÄN</t>
        </is>
      </c>
      <c r="E42" t="inlineStr">
        <is>
          <t>BÅSTAD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58144-2024</t>
        </is>
      </c>
      <c r="B43" s="1" t="n">
        <v>45632</v>
      </c>
      <c r="C43" s="1" t="n">
        <v>45812</v>
      </c>
      <c r="D43" t="inlineStr">
        <is>
          <t>SKÅNE LÄN</t>
        </is>
      </c>
      <c r="E43" t="inlineStr">
        <is>
          <t>BÅSTAD</t>
        </is>
      </c>
      <c r="G43" t="n">
        <v>8.9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2079-2025</t>
        </is>
      </c>
      <c r="B44" s="1" t="n">
        <v>45672</v>
      </c>
      <c r="C44" s="1" t="n">
        <v>45812</v>
      </c>
      <c r="D44" t="inlineStr">
        <is>
          <t>SKÅNE LÄN</t>
        </is>
      </c>
      <c r="E44" t="inlineStr">
        <is>
          <t>BÅSTAD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4256-2025</t>
        </is>
      </c>
      <c r="B45" s="1" t="n">
        <v>45685</v>
      </c>
      <c r="C45" s="1" t="n">
        <v>45812</v>
      </c>
      <c r="D45" t="inlineStr">
        <is>
          <t>SKÅNE LÄN</t>
        </is>
      </c>
      <c r="E45" t="inlineStr">
        <is>
          <t>BÅSTAD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5817-2025</t>
        </is>
      </c>
      <c r="B46" s="1" t="n">
        <v>45694</v>
      </c>
      <c r="C46" s="1" t="n">
        <v>45812</v>
      </c>
      <c r="D46" t="inlineStr">
        <is>
          <t>SKÅNE LÄN</t>
        </is>
      </c>
      <c r="E46" t="inlineStr">
        <is>
          <t>BÅSTAD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10710-2025</t>
        </is>
      </c>
      <c r="B47" s="1" t="n">
        <v>45722</v>
      </c>
      <c r="C47" s="1" t="n">
        <v>45812</v>
      </c>
      <c r="D47" t="inlineStr">
        <is>
          <t>SKÅNE LÄN</t>
        </is>
      </c>
      <c r="E47" t="inlineStr">
        <is>
          <t>BÅSTAD</t>
        </is>
      </c>
      <c r="F47" t="inlineStr">
        <is>
          <t>Kommuner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14833-2025</t>
        </is>
      </c>
      <c r="B48" s="1" t="n">
        <v>45743</v>
      </c>
      <c r="C48" s="1" t="n">
        <v>45812</v>
      </c>
      <c r="D48" t="inlineStr">
        <is>
          <t>SKÅNE LÄN</t>
        </is>
      </c>
      <c r="E48" t="inlineStr">
        <is>
          <t>BÅSTAD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18328-2025</t>
        </is>
      </c>
      <c r="B49" s="1" t="n">
        <v>45762</v>
      </c>
      <c r="C49" s="1" t="n">
        <v>45812</v>
      </c>
      <c r="D49" t="inlineStr">
        <is>
          <t>SKÅNE LÄN</t>
        </is>
      </c>
      <c r="E49" t="inlineStr">
        <is>
          <t>BÅSTAD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18332-2025</t>
        </is>
      </c>
      <c r="B50" s="1" t="n">
        <v>45762</v>
      </c>
      <c r="C50" s="1" t="n">
        <v>45812</v>
      </c>
      <c r="D50" t="inlineStr">
        <is>
          <t>SKÅNE LÄN</t>
        </is>
      </c>
      <c r="E50" t="inlineStr">
        <is>
          <t>BÅSTAD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>
      <c r="A51" t="inlineStr">
        <is>
          <t>A 18327-2025</t>
        </is>
      </c>
      <c r="B51" s="1" t="n">
        <v>45762</v>
      </c>
      <c r="C51" s="1" t="n">
        <v>45812</v>
      </c>
      <c r="D51" t="inlineStr">
        <is>
          <t>SKÅNE LÄN</t>
        </is>
      </c>
      <c r="E51" t="inlineStr">
        <is>
          <t>BÅSTAD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2025-06-04T18:10:53Z</dcterms:created>
  <dcterms:modified xmlns:dcterms="http://purl.org/dc/terms/" xmlns:xsi="http://www.w3.org/2001/XMLSchema-instance" xsi:type="dcterms:W3CDTF">2025-06-04T18:10:53Z</dcterms:modified>
</cp:coreProperties>
</file>