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46298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46298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46298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46298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46298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46298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389-2023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44929</v>
      </c>
      <c r="E8" s="1" t="n">
        <v>46298</v>
      </c>
      <c r="F8" t="inlineStr">
        <is>
          <t>SKÅNE LÄN</t>
        </is>
      </c>
      <c r="G8" t="inlineStr">
        <is>
          <t>BÅSTAD</t>
        </is>
      </c>
      <c r="I8" t="n">
        <v>2.5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Grönvit nattviol</t>
        </is>
      </c>
      <c r="W8">
        <f>HYPERLINK("https://klasma.github.io/Logging_1278/artfynd/A 389-2023 artfynd.xlsx", "A 389-2023")</f>
        <v/>
      </c>
      <c r="X8">
        <f>HYPERLINK("https://klasma.github.io/Logging_1278/kartor/A 389-2023 karta.png", "A 389-2023")</f>
        <v/>
      </c>
      <c r="Y8">
        <f>HYPERLINK("https://klasma.github.io/Logging_1278/kartor_geotiff/A 389-2023 georefererad karta.tif", "A 389-2023")</f>
        <v/>
      </c>
      <c r="AA8">
        <f>HYPERLINK("https://klasma.github.io/Logging_1278/klagomål/A 389-2023 FSC-klagomål.docx", "A 389-2023")</f>
        <v/>
      </c>
      <c r="AB8">
        <f>HYPERLINK("https://klasma.github.io/Logging_1278/klagomålsmail/A 389-2023 FSC-klagomål mail.docx", "A 389-2023")</f>
        <v/>
      </c>
      <c r="AC8">
        <f>HYPERLINK("https://klasma.github.io/Logging_1278/tillsyn/A 389-2023 tillsynsbegäran.docx", "A 389-2023")</f>
        <v/>
      </c>
      <c r="AD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46298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18332-2025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45762</v>
      </c>
      <c r="E10" s="1" t="n">
        <v>46298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Källmossa</t>
        </is>
      </c>
      <c r="W10">
        <f>HYPERLINK("https://klasma.github.io/Logging_1278/artfynd/A 18332-2025 artfynd.xlsx", "A 18332-2025")</f>
        <v/>
      </c>
      <c r="X10">
        <f>HYPERLINK("https://klasma.github.io/Logging_1278/kartor/A 18332-2025 karta.png", "A 18332-2025")</f>
        <v/>
      </c>
      <c r="Y10">
        <f>HYPERLINK("https://klasma.github.io/Logging_1278/kartor_geotiff/A 18332-2025 georefererad karta.tif", "A 18332-2025")</f>
        <v/>
      </c>
      <c r="AA10">
        <f>HYPERLINK("https://klasma.github.io/Logging_1278/klagomål/A 18332-2025 FSC-klagomål.docx", "A 18332-2025")</f>
        <v/>
      </c>
      <c r="AB10">
        <f>HYPERLINK("https://klasma.github.io/Logging_1278/klagomålsmail/A 18332-2025 FSC-klagomål mail.docx", "A 18332-2025")</f>
        <v/>
      </c>
      <c r="AC10">
        <f>HYPERLINK("https://klasma.github.io/Logging_1278/tillsyn/A 18332-2025 tillsynsbegäran.docx", "A 18332-2025")</f>
        <v/>
      </c>
      <c r="AD10">
        <f>HYPERLINK("https://klasma.github.io/Logging_1278/tillsynsmail/A 18332-2025 tillsynsbegäran mail.docx", "A 18332-2025")</f>
        <v/>
      </c>
    </row>
    <row r="11" ht="15" customHeight="1">
      <c r="A11" t="inlineStr">
        <is>
          <t>A 1782-2024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45307</v>
      </c>
      <c r="E11" s="1" t="n">
        <v>46298</v>
      </c>
      <c r="F11" t="inlineStr">
        <is>
          <t>SKÅNE LÄN</t>
        </is>
      </c>
      <c r="G11" t="inlineStr">
        <is>
          <t>BÅSTAD</t>
        </is>
      </c>
      <c r="I11" t="n">
        <v>2.7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Grönvit nattviol</t>
        </is>
      </c>
      <c r="W11">
        <f>HYPERLINK("https://klasma.github.io/Logging_1278/artfynd/A 1782-2024 artfynd.xlsx", "A 1782-2024")</f>
        <v/>
      </c>
      <c r="X11">
        <f>HYPERLINK("https://klasma.github.io/Logging_1278/kartor/A 1782-2024 karta.png", "A 1782-2024")</f>
        <v/>
      </c>
      <c r="Y11">
        <f>HYPERLINK("https://klasma.github.io/Logging_1278/kartor_geotiff/A 1782-2024 georefererad karta.tif", "A 1782-2024")</f>
        <v/>
      </c>
      <c r="AA11">
        <f>HYPERLINK("https://klasma.github.io/Logging_1278/klagomål/A 1782-2024 FSC-klagomål.docx", "A 1782-2024")</f>
        <v/>
      </c>
      <c r="AB11">
        <f>HYPERLINK("https://klasma.github.io/Logging_1278/klagomålsmail/A 1782-2024 FSC-klagomål mail.docx", "A 1782-2024")</f>
        <v/>
      </c>
      <c r="AC11">
        <f>HYPERLINK("https://klasma.github.io/Logging_1278/tillsyn/A 1782-2024 tillsynsbegäran.docx", "A 1782-2024")</f>
        <v/>
      </c>
      <c r="AD11">
        <f>HYPERLINK("https://klasma.github.io/Logging_1278/tillsynsmail/A 1782-2024 tillsynsbegäran mail.docx", "A 1782-2024")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46298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4481-2024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45327</v>
      </c>
      <c r="E13" s="1" t="n">
        <v>46298</v>
      </c>
      <c r="F13" t="inlineStr">
        <is>
          <t>SKÅNE LÄN</t>
        </is>
      </c>
      <c r="G13" t="inlineStr">
        <is>
          <t>BÅSTAD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18327-2025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45762</v>
      </c>
      <c r="E14" s="1" t="n">
        <v>46298</v>
      </c>
      <c r="F14" t="inlineStr">
        <is>
          <t>SKÅNE LÄN</t>
        </is>
      </c>
      <c r="G14" t="inlineStr">
        <is>
          <t>BÅSTAD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28260-2023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45099</v>
      </c>
      <c r="E15" s="1" t="n">
        <v>46298</v>
      </c>
      <c r="F15" t="inlineStr">
        <is>
          <t>SKÅNE LÄN</t>
        </is>
      </c>
      <c r="G15" t="inlineStr">
        <is>
          <t>BÅSTAD</t>
        </is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7731-2026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46062</v>
      </c>
      <c r="E16" s="1" t="n">
        <v>46298</v>
      </c>
      <c r="F16" t="inlineStr">
        <is>
          <t>SKÅNE LÄN</t>
        </is>
      </c>
      <c r="G16" t="inlineStr">
        <is>
          <t>BÅSTAD</t>
        </is>
      </c>
      <c r="I16" t="n">
        <v>5.9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4822-2023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44957</v>
      </c>
      <c r="E17" s="1" t="n">
        <v>46298</v>
      </c>
      <c r="F17" t="inlineStr">
        <is>
          <t>SKÅNE LÄN</t>
        </is>
      </c>
      <c r="G17" t="inlineStr">
        <is>
          <t>BÅSTAD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16624-2026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46298</v>
      </c>
      <c r="F18" t="inlineStr">
        <is>
          <t>SKÅNE LÄN</t>
        </is>
      </c>
      <c r="G18" t="inlineStr">
        <is>
          <t>BÅSTAD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46298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44573</v>
      </c>
      <c r="E20" s="1" t="n">
        <v>46298</v>
      </c>
      <c r="F20" t="inlineStr">
        <is>
          <t>SKÅNE LÄN</t>
        </is>
      </c>
      <c r="G20" t="inlineStr">
        <is>
          <t>BÅSTAD</t>
        </is>
      </c>
      <c r="I20" t="n">
        <v>1.6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46298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44928</v>
      </c>
      <c r="E22" s="1" t="n">
        <v>46298</v>
      </c>
      <c r="F22" t="inlineStr">
        <is>
          <t>SKÅNE LÄN</t>
        </is>
      </c>
      <c r="G22" t="inlineStr">
        <is>
          <t>BÅSTAD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46298</v>
      </c>
      <c r="F23" t="inlineStr">
        <is>
          <t>SKÅNE LÄN</t>
        </is>
      </c>
      <c r="G23" t="inlineStr">
        <is>
          <t>BÅSTAD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21572-2023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45063</v>
      </c>
      <c r="E24" s="1" t="n">
        <v>46298</v>
      </c>
      <c r="F24" t="inlineStr">
        <is>
          <t>SKÅNE LÄN</t>
        </is>
      </c>
      <c r="G24" t="inlineStr">
        <is>
          <t>BÅSTAD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46298</v>
      </c>
      <c r="F25" t="inlineStr">
        <is>
          <t>SKÅNE LÄN</t>
        </is>
      </c>
      <c r="G25" t="inlineStr">
        <is>
          <t>BÅSTAD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46298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45042</v>
      </c>
      <c r="E27" s="1" t="n">
        <v>46298</v>
      </c>
      <c r="F27" t="inlineStr">
        <is>
          <t>SKÅNE LÄN</t>
        </is>
      </c>
      <c r="G27" t="inlineStr">
        <is>
          <t>BÅSTAD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31550-2026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46223</v>
      </c>
      <c r="E28" s="1" t="n">
        <v>46298</v>
      </c>
      <c r="F28" t="inlineStr">
        <is>
          <t>SKÅNE LÄN</t>
        </is>
      </c>
      <c r="G28" t="inlineStr">
        <is>
          <t>BÅSTAD</t>
        </is>
      </c>
      <c r="I28" t="n">
        <v>1.9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4487-2024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45327</v>
      </c>
      <c r="E29" s="1" t="n">
        <v>46298</v>
      </c>
      <c r="F29" t="inlineStr">
        <is>
          <t>SKÅNE LÄN</t>
        </is>
      </c>
      <c r="G29" t="inlineStr">
        <is>
          <t>BÅSTAD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28854-2026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46198</v>
      </c>
      <c r="E30" s="1" t="n">
        <v>46298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5817-2025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45694</v>
      </c>
      <c r="E31" s="1" t="n">
        <v>46298</v>
      </c>
      <c r="F31" t="inlineStr">
        <is>
          <t>SKÅNE LÄN</t>
        </is>
      </c>
      <c r="G31" t="inlineStr">
        <is>
          <t>BÅSTAD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48181-2024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45589</v>
      </c>
      <c r="E32" s="1" t="n">
        <v>46298</v>
      </c>
      <c r="F32" t="inlineStr">
        <is>
          <t>SKÅNE LÄN</t>
        </is>
      </c>
      <c r="G32" t="inlineStr">
        <is>
          <t>BÅSTAD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46298</v>
      </c>
      <c r="F33" t="inlineStr">
        <is>
          <t>SKÅNE LÄN</t>
        </is>
      </c>
      <c r="G33" t="inlineStr">
        <is>
          <t>BÅSTAD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46298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