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X2">
        <f>HYPERLINK("https://klasma.github.io/Logging_1278/kartor_geotiff/S 3928-2024 georefererad karta.tif", "S 3928-2024")</f>
        <v/>
      </c>
      <c r="Z2">
        <f>HYPERLINK("https://klasma.github.io/Logging_1278/klagomål/S 3928-2024 FSC-klagomål.docx", "S 3928-2024")</f>
        <v/>
      </c>
      <c r="AA2">
        <f>HYPERLINK("https://klasma.github.io/Logging_1278/klagomålsmail/S 3928-2024 FSC-klagomål mail.docx", "S 3928-2024")</f>
        <v/>
      </c>
      <c r="AB2">
        <f>HYPERLINK("https://klasma.github.io/Logging_1278/tillsyn/S 3928-2024 tillsynsbegäran.docx", "S 3928-2024")</f>
        <v/>
      </c>
      <c r="AC2">
        <f>HYPERLINK("https://klasma.github.io/Logging_1278/tillsynsmail/S 3928-2024 tillsynsbegäran mail.docx", "S 3928-2024")</f>
        <v/>
      </c>
      <c r="AD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X3">
        <f>HYPERLINK("https://klasma.github.io/Logging_1278/kartor_geotiff/S 5174-2024 georefererad karta.tif", "S 5174-2024")</f>
        <v/>
      </c>
      <c r="Z3">
        <f>HYPERLINK("https://klasma.github.io/Logging_1278/klagomål/S 5174-2024 FSC-klagomål.docx", "S 5174-2024")</f>
        <v/>
      </c>
      <c r="AA3">
        <f>HYPERLINK("https://klasma.github.io/Logging_1278/klagomålsmail/S 5174-2024 FSC-klagomål mail.docx", "S 5174-2024")</f>
        <v/>
      </c>
      <c r="AB3">
        <f>HYPERLINK("https://klasma.github.io/Logging_1278/tillsyn/S 5174-2024 tillsynsbegäran.docx", "S 5174-2024")</f>
        <v/>
      </c>
      <c r="AC3">
        <f>HYPERLINK("https://klasma.github.io/Logging_1278/tillsynsmail/S 5174-2024 tillsynsbegäran mail.docx", "S 5174-2024")</f>
        <v/>
      </c>
      <c r="AD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X4">
        <f>HYPERLINK("https://klasma.github.io/Logging_1278/kartor_geotiff/A 38013-2022 georefererad karta.tif", "A 38013-2022")</f>
        <v/>
      </c>
      <c r="Z4">
        <f>HYPERLINK("https://klasma.github.io/Logging_1278/klagomål/A 38013-2022 FSC-klagomål.docx", "A 38013-2022")</f>
        <v/>
      </c>
      <c r="AA4">
        <f>HYPERLINK("https://klasma.github.io/Logging_1278/klagomålsmail/A 38013-2022 FSC-klagomål mail.docx", "A 38013-2022")</f>
        <v/>
      </c>
      <c r="AB4">
        <f>HYPERLINK("https://klasma.github.io/Logging_1278/tillsyn/A 38013-2022 tillsynsbegäran.docx", "A 38013-2022")</f>
        <v/>
      </c>
      <c r="AC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X5">
        <f>HYPERLINK("https://klasma.github.io/Logging_1278/kartor_geotiff/A 2943-2023 georefererad karta.tif", "A 2943-2023")</f>
        <v/>
      </c>
      <c r="Z5">
        <f>HYPERLINK("https://klasma.github.io/Logging_1278/klagomål/A 2943-2023 FSC-klagomål.docx", "A 2943-2023")</f>
        <v/>
      </c>
      <c r="AA5">
        <f>HYPERLINK("https://klasma.github.io/Logging_1278/klagomålsmail/A 2943-2023 FSC-klagomål mail.docx", "A 2943-2023")</f>
        <v/>
      </c>
      <c r="AB5">
        <f>HYPERLINK("https://klasma.github.io/Logging_1278/tillsyn/A 2943-2023 tillsynsbegäran.docx", "A 2943-2023")</f>
        <v/>
      </c>
      <c r="AC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X6">
        <f>HYPERLINK("https://klasma.github.io/Logging_1278/kartor_geotiff/A 11517-2024 georefererad karta.tif", "A 11517-2024")</f>
        <v/>
      </c>
      <c r="Z6">
        <f>HYPERLINK("https://klasma.github.io/Logging_1278/klagomål/A 11517-2024 FSC-klagomål.docx", "A 11517-2024")</f>
        <v/>
      </c>
      <c r="AA6">
        <f>HYPERLINK("https://klasma.github.io/Logging_1278/klagomålsmail/A 11517-2024 FSC-klagomål mail.docx", "A 11517-2024")</f>
        <v/>
      </c>
      <c r="AB6">
        <f>HYPERLINK("https://klasma.github.io/Logging_1278/tillsyn/A 11517-2024 tillsynsbegäran.docx", "A 11517-2024")</f>
        <v/>
      </c>
      <c r="AC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X7">
        <f>HYPERLINK("https://klasma.github.io/Logging_1278/kartor_geotiff/A 48974-2023 georefererad karta.tif", "A 48974-2023")</f>
        <v/>
      </c>
      <c r="Z7">
        <f>HYPERLINK("https://klasma.github.io/Logging_1278/klagomål/A 48974-2023 FSC-klagomål.docx", "A 48974-2023")</f>
        <v/>
      </c>
      <c r="AA7">
        <f>HYPERLINK("https://klasma.github.io/Logging_1278/klagomålsmail/A 48974-2023 FSC-klagomål mail.docx", "A 48974-2023")</f>
        <v/>
      </c>
      <c r="AB7">
        <f>HYPERLINK("https://klasma.github.io/Logging_1278/tillsyn/A 48974-2023 tillsynsbegäran.docx", "A 48974-2023")</f>
        <v/>
      </c>
      <c r="AC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46223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1782-2024 artfynd.xlsx", "A 1782-2024")</f>
        <v/>
      </c>
      <c r="W8">
        <f>HYPERLINK("https://klasma.github.io/Logging_1278/kartor/A 1782-2024 karta.png", "A 1782-2024")</f>
        <v/>
      </c>
      <c r="X8">
        <f>HYPERLINK("https://klasma.github.io/Logging_1278/kartor_geotiff/A 1782-2024 georefererad karta.tif", "A 1782-2024")</f>
        <v/>
      </c>
      <c r="Z8">
        <f>HYPERLINK("https://klasma.github.io/Logging_1278/klagomål/A 1782-2024 FSC-klagomål.docx", "A 1782-2024")</f>
        <v/>
      </c>
      <c r="AA8">
        <f>HYPERLINK("https://klasma.github.io/Logging_1278/klagomålsmail/A 1782-2024 FSC-klagomål mail.docx", "A 1782-2024")</f>
        <v/>
      </c>
      <c r="AB8">
        <f>HYPERLINK("https://klasma.github.io/Logging_1278/tillsyn/A 1782-2024 tillsynsbegäran.docx", "A 1782-2024")</f>
        <v/>
      </c>
      <c r="AC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46223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Grönvit nattviol</t>
        </is>
      </c>
      <c r="V9">
        <f>HYPERLINK("https://klasma.github.io/Logging_1278/artfynd/A 389-2023 artfynd.xlsx", "A 389-2023")</f>
        <v/>
      </c>
      <c r="W9">
        <f>HYPERLINK("https://klasma.github.io/Logging_1278/kartor/A 389-2023 karta.png", "A 389-2023")</f>
        <v/>
      </c>
      <c r="X9">
        <f>HYPERLINK("https://klasma.github.io/Logging_1278/kartor_geotiff/A 389-2023 georefererad karta.tif", "A 389-2023")</f>
        <v/>
      </c>
      <c r="Z9">
        <f>HYPERLINK("https://klasma.github.io/Logging_1278/klagomål/A 389-2023 FSC-klagomål.docx", "A 389-2023")</f>
        <v/>
      </c>
      <c r="AA9">
        <f>HYPERLINK("https://klasma.github.io/Logging_1278/klagomålsmail/A 389-2023 FSC-klagomål mail.docx", "A 389-2023")</f>
        <v/>
      </c>
      <c r="AB9">
        <f>HYPERLINK("https://klasma.github.io/Logging_1278/tillsyn/A 389-2023 tillsynsbegäran.docx", "A 389-2023")</f>
        <v/>
      </c>
      <c r="AC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46223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Törnskata</t>
        </is>
      </c>
      <c r="V10">
        <f>HYPERLINK("https://klasma.github.io/Logging_1278/artfynd/A 18328-2025 artfynd.xlsx", "A 18328-2025")</f>
        <v/>
      </c>
      <c r="W10">
        <f>HYPERLINK("https://klasma.github.io/Logging_1278/kartor/A 18328-2025 karta.png", "A 18328-2025")</f>
        <v/>
      </c>
      <c r="X10">
        <f>HYPERLINK("https://klasma.github.io/Logging_1278/kartor_geotiff/A 18328-2025 georefererad karta.tif", "A 18328-2025")</f>
        <v/>
      </c>
      <c r="Z10">
        <f>HYPERLINK("https://klasma.github.io/Logging_1278/klagomål/A 18328-2025 FSC-klagomål.docx", "A 18328-2025")</f>
        <v/>
      </c>
      <c r="AA10">
        <f>HYPERLINK("https://klasma.github.io/Logging_1278/klagomålsmail/A 18328-2025 FSC-klagomål mail.docx", "A 18328-2025")</f>
        <v/>
      </c>
      <c r="AB10">
        <f>HYPERLINK("https://klasma.github.io/Logging_1278/tillsyn/A 18328-2025 tillsynsbegäran.docx", "A 18328-2025")</f>
        <v/>
      </c>
      <c r="AC10">
        <f>HYPERLINK("https://klasma.github.io/Logging_1278/tillsynsmail/A 18328-2025 tillsynsbegäran mail.docx", "A 18328-2025")</f>
        <v/>
      </c>
      <c r="AD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X11">
        <f>HYPERLINK("https://klasma.github.io/Logging_1278/kartor_geotiff/A 18332-2025 georefererad karta.tif", "A 18332-2025")</f>
        <v/>
      </c>
      <c r="Z11">
        <f>HYPERLINK("https://klasma.github.io/Logging_1278/klagomål/A 18332-2025 FSC-klagomål.docx", "A 18332-2025")</f>
        <v/>
      </c>
      <c r="AA11">
        <f>HYPERLINK("https://klasma.github.io/Logging_1278/klagomålsmail/A 18332-2025 FSC-klagomål mail.docx", "A 18332-2025")</f>
        <v/>
      </c>
      <c r="AB11">
        <f>HYPERLINK("https://klasma.github.io/Logging_1278/tillsyn/A 18332-2025 tillsynsbegäran.docx", "A 18332-2025")</f>
        <v/>
      </c>
      <c r="AC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X12">
        <f>HYPERLINK("https://klasma.github.io/Logging_1278/kartor_geotiff/S 1528-2023 georefererad karta.tif", "S 1528-2023")</f>
        <v/>
      </c>
      <c r="Z12">
        <f>HYPERLINK("https://klasma.github.io/Logging_1278/klagomål/S 1528-2023 FSC-klagomål.docx", "S 1528-2023")</f>
        <v/>
      </c>
      <c r="AA12">
        <f>HYPERLINK("https://klasma.github.io/Logging_1278/klagomålsmail/S 1528-2023 FSC-klagomål mail.docx", "S 1528-2023")</f>
        <v/>
      </c>
      <c r="AB12">
        <f>HYPERLINK("https://klasma.github.io/Logging_1278/tillsyn/S 1528-2023 tillsynsbegäran.docx", "S 1528-2023")</f>
        <v/>
      </c>
      <c r="AC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46223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46223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46223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46223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46223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46223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46223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46223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46223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46223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46223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46223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46223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46223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46223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46223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46223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46223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46223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46223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