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38013-2022</t>
        </is>
      </c>
      <c r="B2" s="1" t="n">
        <v>44811</v>
      </c>
      <c r="C2" s="1" t="n">
        <v>46205</v>
      </c>
      <c r="D2" t="inlineStr">
        <is>
          <t>SKÅNE LÄN</t>
        </is>
      </c>
      <c r="E2" t="inlineStr">
        <is>
          <t>BÅSTAD</t>
        </is>
      </c>
      <c r="G2" t="n">
        <v>5.3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Igelkott
Blåmossa
Stubbspretmossa
Västlig hakmossa</t>
        </is>
      </c>
      <c r="S2">
        <f>HYPERLINK("https://klasma.github.io/Logging_1278/artfynd/A 38013-2022 artfynd.xlsx", "A 38013-2022")</f>
        <v/>
      </c>
      <c r="T2">
        <f>HYPERLINK("https://klasma.github.io/Logging_1278/kartor/A 38013-2022 karta.png", "A 38013-2022")</f>
        <v/>
      </c>
      <c r="V2">
        <f>HYPERLINK("https://klasma.github.io/Logging_1278/klagomål/A 38013-2022 FSC-klagomål.docx", "A 38013-2022")</f>
        <v/>
      </c>
      <c r="W2">
        <f>HYPERLINK("https://klasma.github.io/Logging_1278/klagomålsmail/A 38013-2022 FSC-klagomål mail.docx", "A 38013-2022")</f>
        <v/>
      </c>
      <c r="X2">
        <f>HYPERLINK("https://klasma.github.io/Logging_1278/tillsyn/A 38013-2022 tillsynsbegäran.docx", "A 38013-2022")</f>
        <v/>
      </c>
      <c r="Y2">
        <f>HYPERLINK("https://klasma.github.io/Logging_1278/tillsynsmail/A 38013-2022 tillsynsbegäran mail.docx", "A 38013-2022")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46205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11517-2024</t>
        </is>
      </c>
      <c r="B4" s="1" t="n">
        <v>45372</v>
      </c>
      <c r="C4" s="1" t="n">
        <v>46205</v>
      </c>
      <c r="D4" t="inlineStr">
        <is>
          <t>SKÅNE LÄN</t>
        </is>
      </c>
      <c r="E4" t="inlineStr">
        <is>
          <t>BÅSTAD</t>
        </is>
      </c>
      <c r="G4" t="n">
        <v>0.7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Tvåblad
Grönvit nattviol</t>
        </is>
      </c>
      <c r="S4">
        <f>HYPERLINK("https://klasma.github.io/Logging_1278/artfynd/A 11517-2024 artfynd.xlsx", "A 11517-2024")</f>
        <v/>
      </c>
      <c r="T4">
        <f>HYPERLINK("https://klasma.github.io/Logging_1278/kartor/A 11517-2024 karta.png", "A 11517-2024")</f>
        <v/>
      </c>
      <c r="V4">
        <f>HYPERLINK("https://klasma.github.io/Logging_1278/klagomål/A 11517-2024 FSC-klagomål.docx", "A 11517-2024")</f>
        <v/>
      </c>
      <c r="W4">
        <f>HYPERLINK("https://klasma.github.io/Logging_1278/klagomålsmail/A 11517-2024 FSC-klagomål mail.docx", "A 11517-2024")</f>
        <v/>
      </c>
      <c r="X4">
        <f>HYPERLINK("https://klasma.github.io/Logging_1278/tillsyn/A 11517-2024 tillsynsbegäran.docx", "A 11517-2024")</f>
        <v/>
      </c>
      <c r="Y4">
        <f>HYPERLINK("https://klasma.github.io/Logging_1278/tillsynsmail/A 11517-2024 tillsynsbegäran mail.docx", "A 11517-2024")</f>
        <v/>
      </c>
    </row>
    <row r="5" ht="15" customHeight="1">
      <c r="A5" t="inlineStr">
        <is>
          <t>A 48974-2023</t>
        </is>
      </c>
      <c r="B5" s="1" t="n">
        <v>45209</v>
      </c>
      <c r="C5" s="1" t="n">
        <v>46205</v>
      </c>
      <c r="D5" t="inlineStr">
        <is>
          <t>SKÅNE LÄN</t>
        </is>
      </c>
      <c r="E5" t="inlineStr">
        <is>
          <t>BÅSTAD</t>
        </is>
      </c>
      <c r="G5" t="n">
        <v>4.5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Gullpudra</t>
        </is>
      </c>
      <c r="S5">
        <f>HYPERLINK("https://klasma.github.io/Logging_1278/artfynd/A 48974-2023 artfynd.xlsx", "A 48974-2023")</f>
        <v/>
      </c>
      <c r="T5">
        <f>HYPERLINK("https://klasma.github.io/Logging_1278/kartor/A 48974-2023 karta.png", "A 48974-2023")</f>
        <v/>
      </c>
      <c r="V5">
        <f>HYPERLINK("https://klasma.github.io/Logging_1278/klagomål/A 48974-2023 FSC-klagomål.docx", "A 48974-2023")</f>
        <v/>
      </c>
      <c r="W5">
        <f>HYPERLINK("https://klasma.github.io/Logging_1278/klagomålsmail/A 48974-2023 FSC-klagomål mail.docx", "A 48974-2023")</f>
        <v/>
      </c>
      <c r="X5">
        <f>HYPERLINK("https://klasma.github.io/Logging_1278/tillsyn/A 48974-2023 tillsynsbegäran.docx", "A 48974-2023")</f>
        <v/>
      </c>
      <c r="Y5">
        <f>HYPERLINK("https://klasma.github.io/Logging_1278/tillsynsmail/A 48974-2023 tillsynsbegäran mail.docx", "A 48974-2023")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46205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389-2023</t>
        </is>
      </c>
      <c r="B7" s="1" t="n">
        <v>44929</v>
      </c>
      <c r="C7" s="1" t="n">
        <v>46205</v>
      </c>
      <c r="D7" t="inlineStr">
        <is>
          <t>SKÅNE LÄN</t>
        </is>
      </c>
      <c r="E7" t="inlineStr">
        <is>
          <t>BÅSTAD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389-2023 artfynd.xlsx", "A 389-2023")</f>
        <v/>
      </c>
      <c r="T7">
        <f>HYPERLINK("https://klasma.github.io/Logging_1278/kartor/A 389-2023 karta.png", "A 389-2023")</f>
        <v/>
      </c>
      <c r="V7">
        <f>HYPERLINK("https://klasma.github.io/Logging_1278/klagomål/A 389-2023 FSC-klagomål.docx", "A 389-2023")</f>
        <v/>
      </c>
      <c r="W7">
        <f>HYPERLINK("https://klasma.github.io/Logging_1278/klagomålsmail/A 389-2023 FSC-klagomål mail.docx", "A 389-2023")</f>
        <v/>
      </c>
      <c r="X7">
        <f>HYPERLINK("https://klasma.github.io/Logging_1278/tillsyn/A 389-2023 tillsynsbegäran.docx", "A 389-2023")</f>
        <v/>
      </c>
      <c r="Y7">
        <f>HYPERLINK("https://klasma.github.io/Logging_1278/tillsynsmail/A 389-2023 tillsynsbegäran mail.docx", "A 389-2023")</f>
        <v/>
      </c>
    </row>
    <row r="8" ht="15" customHeight="1">
      <c r="A8" t="inlineStr">
        <is>
          <t>A 18332-2025</t>
        </is>
      </c>
      <c r="B8" s="1" t="n">
        <v>45762</v>
      </c>
      <c r="C8" s="1" t="n">
        <v>46205</v>
      </c>
      <c r="D8" t="inlineStr">
        <is>
          <t>SKÅNE LÄN</t>
        </is>
      </c>
      <c r="E8" t="inlineStr">
        <is>
          <t>BÅSTAD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Källmossa</t>
        </is>
      </c>
      <c r="S8">
        <f>HYPERLINK("https://klasma.github.io/Logging_1278/artfynd/A 18332-2025 artfynd.xlsx", "A 18332-2025")</f>
        <v/>
      </c>
      <c r="T8">
        <f>HYPERLINK("https://klasma.github.io/Logging_1278/kartor/A 18332-2025 karta.png", "A 18332-2025")</f>
        <v/>
      </c>
      <c r="V8">
        <f>HYPERLINK("https://klasma.github.io/Logging_1278/klagomål/A 18332-2025 FSC-klagomål.docx", "A 18332-2025")</f>
        <v/>
      </c>
      <c r="W8">
        <f>HYPERLINK("https://klasma.github.io/Logging_1278/klagomålsmail/A 18332-2025 FSC-klagomål mail.docx", "A 18332-2025")</f>
        <v/>
      </c>
      <c r="X8">
        <f>HYPERLINK("https://klasma.github.io/Logging_1278/tillsyn/A 18332-2025 tillsynsbegäran.docx", "A 18332-2025")</f>
        <v/>
      </c>
      <c r="Y8">
        <f>HYPERLINK("https://klasma.github.io/Logging_1278/tillsynsmail/A 18332-2025 tillsynsbegäran mail.docx", "A 18332-2025")</f>
        <v/>
      </c>
    </row>
    <row r="9" ht="15" customHeight="1">
      <c r="A9" t="inlineStr">
        <is>
          <t>A 18328-2025</t>
        </is>
      </c>
      <c r="B9" s="1" t="n">
        <v>45762</v>
      </c>
      <c r="C9" s="1" t="n">
        <v>46205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Törnskata</t>
        </is>
      </c>
      <c r="S9">
        <f>HYPERLINK("https://klasma.github.io/Logging_1278/artfynd/A 18328-2025 artfynd.xlsx", "A 18328-2025")</f>
        <v/>
      </c>
      <c r="T9">
        <f>HYPERLINK("https://klasma.github.io/Logging_1278/kartor/A 18328-2025 karta.png", "A 18328-2025")</f>
        <v/>
      </c>
      <c r="V9">
        <f>HYPERLINK("https://klasma.github.io/Logging_1278/klagomål/A 18328-2025 FSC-klagomål.docx", "A 18328-2025")</f>
        <v/>
      </c>
      <c r="W9">
        <f>HYPERLINK("https://klasma.github.io/Logging_1278/klagomålsmail/A 18328-2025 FSC-klagomål mail.docx", "A 18328-2025")</f>
        <v/>
      </c>
      <c r="X9">
        <f>HYPERLINK("https://klasma.github.io/Logging_1278/tillsyn/A 18328-2025 tillsynsbegäran.docx", "A 18328-2025")</f>
        <v/>
      </c>
      <c r="Y9">
        <f>HYPERLINK("https://klasma.github.io/Logging_1278/tillsynsmail/A 18328-2025 tillsynsbegäran mail.docx", "A 18328-2025")</f>
        <v/>
      </c>
      <c r="Z9">
        <f>HYPERLINK("https://klasma.github.io/Logging_1278/fåglar/A 18328-2025 prioriterade fågelarter.docx", "A 18328-2025")</f>
        <v/>
      </c>
    </row>
    <row r="10" ht="15" customHeight="1">
      <c r="A10" t="inlineStr">
        <is>
          <t>A 4822-2023</t>
        </is>
      </c>
      <c r="B10" s="1" t="n">
        <v>44957</v>
      </c>
      <c r="C10" s="1" t="n">
        <v>46205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1531-2022</t>
        </is>
      </c>
      <c r="B11" s="1" t="n">
        <v>44573</v>
      </c>
      <c r="C11" s="1" t="n">
        <v>46205</v>
      </c>
      <c r="D11" t="inlineStr">
        <is>
          <t>SKÅNE LÄN</t>
        </is>
      </c>
      <c r="E11" t="inlineStr">
        <is>
          <t>BÅSTAD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4486-2024</t>
        </is>
      </c>
      <c r="B12" s="1" t="n">
        <v>45327</v>
      </c>
      <c r="C12" s="1" t="n">
        <v>46205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46205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32610-2024</t>
        </is>
      </c>
      <c r="B14" s="1" t="n">
        <v>45513</v>
      </c>
      <c r="C14" s="1" t="n">
        <v>46205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34400-2025</t>
        </is>
      </c>
      <c r="B15" s="1" t="n">
        <v>45846</v>
      </c>
      <c r="C15" s="1" t="n">
        <v>46205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635-2023</t>
        </is>
      </c>
      <c r="B16" s="1" t="n">
        <v>44930</v>
      </c>
      <c r="C16" s="1" t="n">
        <v>46205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48181-2024</t>
        </is>
      </c>
      <c r="B17" s="1" t="n">
        <v>45589</v>
      </c>
      <c r="C17" s="1" t="n">
        <v>46205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5817-2025</t>
        </is>
      </c>
      <c r="B18" s="1" t="n">
        <v>45694</v>
      </c>
      <c r="C18" s="1" t="n">
        <v>46205</v>
      </c>
      <c r="D18" t="inlineStr">
        <is>
          <t>SKÅNE LÄN</t>
        </is>
      </c>
      <c r="E18" t="inlineStr">
        <is>
          <t>BÅSTAD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7731-2026</t>
        </is>
      </c>
      <c r="B19" s="1" t="n">
        <v>46062</v>
      </c>
      <c r="C19" s="1" t="n">
        <v>46205</v>
      </c>
      <c r="D19" t="inlineStr">
        <is>
          <t>SKÅNE LÄN</t>
        </is>
      </c>
      <c r="E19" t="inlineStr">
        <is>
          <t>BÅSTAD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46205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21572-2023</t>
        </is>
      </c>
      <c r="B21" s="1" t="n">
        <v>45063</v>
      </c>
      <c r="C21" s="1" t="n">
        <v>46205</v>
      </c>
      <c r="D21" t="inlineStr">
        <is>
          <t>SKÅNE LÄN</t>
        </is>
      </c>
      <c r="E21" t="inlineStr">
        <is>
          <t>BÅSTAD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16624-2026</t>
        </is>
      </c>
      <c r="B22" s="1" t="n">
        <v>46112</v>
      </c>
      <c r="C22" s="1" t="n">
        <v>46205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28260-2023</t>
        </is>
      </c>
      <c r="B23" s="1" t="n">
        <v>45099</v>
      </c>
      <c r="C23" s="1" t="n">
        <v>46205</v>
      </c>
      <c r="D23" t="inlineStr">
        <is>
          <t>SKÅNE LÄN</t>
        </is>
      </c>
      <c r="E23" t="inlineStr">
        <is>
          <t>BÅSTAD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4481-2024</t>
        </is>
      </c>
      <c r="B24" s="1" t="n">
        <v>45327</v>
      </c>
      <c r="C24" s="1" t="n">
        <v>46205</v>
      </c>
      <c r="D24" t="inlineStr">
        <is>
          <t>SKÅNE LÄN</t>
        </is>
      </c>
      <c r="E24" t="inlineStr">
        <is>
          <t>BÅSTAD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46205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53131-2021</t>
        </is>
      </c>
      <c r="B26" s="1" t="n">
        <v>44468</v>
      </c>
      <c r="C26" s="1" t="n">
        <v>46205</v>
      </c>
      <c r="D26" t="inlineStr">
        <is>
          <t>SKÅNE LÄN</t>
        </is>
      </c>
      <c r="E26" t="inlineStr">
        <is>
          <t>BÅSTAD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46205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28854-2026</t>
        </is>
      </c>
      <c r="B28" s="1" t="n">
        <v>46198</v>
      </c>
      <c r="C28" s="1" t="n">
        <v>46205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18327-2025</t>
        </is>
      </c>
      <c r="B29" s="1" t="n">
        <v>45762</v>
      </c>
      <c r="C29" s="1" t="n">
        <v>46205</v>
      </c>
      <c r="D29" t="inlineStr">
        <is>
          <t>SKÅNE LÄN</t>
        </is>
      </c>
      <c r="E29" t="inlineStr">
        <is>
          <t>BÅSTAD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4493-2024</t>
        </is>
      </c>
      <c r="B30" s="1" t="n">
        <v>45327</v>
      </c>
      <c r="C30" s="1" t="n">
        <v>46205</v>
      </c>
      <c r="D30" t="inlineStr">
        <is>
          <t>SKÅNE LÄN</t>
        </is>
      </c>
      <c r="E30" t="inlineStr">
        <is>
          <t>BÅSTAD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2026-07-02T01:00:11Z</dcterms:created>
  <dcterms:modified xmlns:dcterms="http://purl.org/dc/terms/" xmlns:xsi="http://www.w3.org/2001/XMLSchema-instance" xsi:type="dcterms:W3CDTF">2026-07-02T01:00:11Z</dcterms:modified>
</cp:coreProperties>
</file>