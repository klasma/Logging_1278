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46239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46239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46239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t="n">
        <v>1</v>
      </c>
      <c r="V4" s="2" t="inlineStr">
        <is>
          <t>Igelkott
Blåmossa
Stubbspretmossa
Västlig hakmossa</t>
        </is>
      </c>
      <c r="W4">
        <f>HYPERLINK("https://klasma.github.io/Logging_1278/artfynd/A 38013-2022 artfynd.xlsx", "A 38013-2022")</f>
        <v/>
      </c>
      <c r="X4">
        <f>HYPERLINK("https://klasma.github.io/Logging_1278/kartor/A 38013-2022 karta.png", "A 38013-2022")</f>
        <v/>
      </c>
      <c r="Y4">
        <f>HYPERLINK("https://klasma.github.io/Logging_1278/kartor_geotiff/A 38013-2022 georefererad karta.tif", "A 38013-2022")</f>
        <v/>
      </c>
      <c r="AA4">
        <f>HYPERLINK("https://klasma.github.io/Logging_1278/klagomål/A 38013-2022 FSC-klagomål.docx", "A 38013-2022")</f>
        <v/>
      </c>
      <c r="AB4">
        <f>HYPERLINK("https://klasma.github.io/Logging_1278/klagomålsmail/A 38013-2022 FSC-klagomål mail.docx", "A 38013-2022")</f>
        <v/>
      </c>
      <c r="AC4">
        <f>HYPERLINK("https://klasma.github.io/Logging_1278/tillsyn/A 38013-2022 tillsynsbegäran.docx", "A 38013-2022")</f>
        <v/>
      </c>
      <c r="AD4">
        <f>HYPERLINK("https://klasma.github.io/Logging_1278/tillsynsmail/A 38013-2022 tillsynsbegäran mail.docx", "A 38013-2022")</f>
        <v/>
      </c>
    </row>
    <row r="5" ht="15" customHeight="1">
      <c r="A5" t="inlineStr">
        <is>
          <t>A 11517-2024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45372</v>
      </c>
      <c r="E5" s="1" t="n">
        <v>46239</v>
      </c>
      <c r="F5" t="inlineStr">
        <is>
          <t>SKÅNE LÄN</t>
        </is>
      </c>
      <c r="G5" t="inlineStr">
        <is>
          <t>BÅSTAD</t>
        </is>
      </c>
      <c r="I5" t="n">
        <v>0.7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Skogsalm
Tvåblad
Grönvit nattviol</t>
        </is>
      </c>
      <c r="W5">
        <f>HYPERLINK("https://klasma.github.io/Logging_1278/artfynd/A 11517-2024 artfynd.xlsx", "A 11517-2024")</f>
        <v/>
      </c>
      <c r="X5">
        <f>HYPERLINK("https://klasma.github.io/Logging_1278/kartor/A 11517-2024 karta.png", "A 11517-2024")</f>
        <v/>
      </c>
      <c r="Y5">
        <f>HYPERLINK("https://klasma.github.io/Logging_1278/kartor_geotiff/A 11517-2024 georefererad karta.tif", "A 11517-2024")</f>
        <v/>
      </c>
      <c r="AA5">
        <f>HYPERLINK("https://klasma.github.io/Logging_1278/klagomål/A 11517-2024 FSC-klagomål.docx", "A 11517-2024")</f>
        <v/>
      </c>
      <c r="AB5">
        <f>HYPERLINK("https://klasma.github.io/Logging_1278/klagomålsmail/A 11517-2024 FSC-klagomål mail.docx", "A 11517-2024")</f>
        <v/>
      </c>
      <c r="AC5">
        <f>HYPERLINK("https://klasma.github.io/Logging_1278/tillsyn/A 11517-2024 tillsynsbegäran.docx", "A 11517-2024")</f>
        <v/>
      </c>
      <c r="AD5">
        <f>HYPERLINK("https://klasma.github.io/Logging_1278/tillsynsmail/A 11517-2024 tillsynsbegäran mail.docx", "A 11517-2024")</f>
        <v/>
      </c>
    </row>
    <row r="6" ht="15" customHeight="1">
      <c r="A6" t="inlineStr">
        <is>
          <t>A 2943-2023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44945</v>
      </c>
      <c r="E6" s="1" t="n">
        <v>46239</v>
      </c>
      <c r="F6" t="inlineStr">
        <is>
          <t>SKÅNE LÄN</t>
        </is>
      </c>
      <c r="G6" t="inlineStr">
        <is>
          <t>BÅSTAD</t>
        </is>
      </c>
      <c r="I6" t="n">
        <v>11.3</v>
      </c>
      <c r="J6" t="n">
        <v>1</v>
      </c>
      <c r="K6" t="n">
        <v>0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3</v>
      </c>
      <c r="T6" t="n">
        <v>3</v>
      </c>
      <c r="U6" t="n">
        <v>3</v>
      </c>
      <c r="V6" s="2" t="inlineStr">
        <is>
          <t>Skogsalm
Sårläka
Grönvit nattviol</t>
        </is>
      </c>
      <c r="W6">
        <f>HYPERLINK("https://klasma.github.io/Logging_1278/artfynd/A 2943-2023 artfynd.xlsx", "A 2943-2023")</f>
        <v/>
      </c>
      <c r="X6">
        <f>HYPERLINK("https://klasma.github.io/Logging_1278/kartor/A 2943-2023 karta.png", "A 2943-2023")</f>
        <v/>
      </c>
      <c r="Y6">
        <f>HYPERLINK("https://klasma.github.io/Logging_1278/kartor_geotiff/A 2943-2023 georefererad karta.tif", "A 2943-2023")</f>
        <v/>
      </c>
      <c r="AA6">
        <f>HYPERLINK("https://klasma.github.io/Logging_1278/klagomål/A 2943-2023 FSC-klagomål.docx", "A 2943-2023")</f>
        <v/>
      </c>
      <c r="AB6">
        <f>HYPERLINK("https://klasma.github.io/Logging_1278/klagomålsmail/A 2943-2023 FSC-klagomål mail.docx", "A 2943-2023")</f>
        <v/>
      </c>
      <c r="AC6">
        <f>HYPERLINK("https://klasma.github.io/Logging_1278/tillsyn/A 2943-2023 tillsynsbegäran.docx", "A 2943-2023")</f>
        <v/>
      </c>
      <c r="AD6">
        <f>HYPERLINK("https://klasma.github.io/Logging_1278/tillsynsmail/A 2943-2023 tillsynsbegäran mail.docx", "A 2943-2023")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46239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Ask
Gullpudra</t>
        </is>
      </c>
      <c r="W7">
        <f>HYPERLINK("https://klasma.github.io/Logging_1278/artfynd/A 48974-2023 artfynd.xlsx", "A 48974-2023")</f>
        <v/>
      </c>
      <c r="X7">
        <f>HYPERLINK("https://klasma.github.io/Logging_1278/kartor/A 48974-2023 karta.png", "A 48974-2023")</f>
        <v/>
      </c>
      <c r="Y7">
        <f>HYPERLINK("https://klasma.github.io/Logging_1278/kartor_geotiff/A 48974-2023 georefererad karta.tif", "A 48974-2023")</f>
        <v/>
      </c>
      <c r="AA7">
        <f>HYPERLINK("https://klasma.github.io/Logging_1278/klagomål/A 48974-2023 FSC-klagomål.docx", "A 48974-2023")</f>
        <v/>
      </c>
      <c r="AB7">
        <f>HYPERLINK("https://klasma.github.io/Logging_1278/klagomålsmail/A 48974-2023 FSC-klagomål mail.docx", "A 48974-2023")</f>
        <v/>
      </c>
      <c r="AC7">
        <f>HYPERLINK("https://klasma.github.io/Logging_1278/tillsyn/A 48974-2023 tillsynsbegäran.docx", "A 48974-2023")</f>
        <v/>
      </c>
      <c r="AD7">
        <f>HYPERLINK("https://klasma.github.io/Logging_1278/tillsynsmail/A 48974-2023 tillsynsbegäran mail.docx", "A 48974-2023")</f>
        <v/>
      </c>
    </row>
    <row r="8" ht="15" customHeight="1">
      <c r="A8" t="inlineStr">
        <is>
          <t>A 1782-2024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45307</v>
      </c>
      <c r="E8" s="1" t="n">
        <v>46239</v>
      </c>
      <c r="F8" t="inlineStr">
        <is>
          <t>SKÅNE LÄN</t>
        </is>
      </c>
      <c r="G8" t="inlineStr">
        <is>
          <t>BÅSTAD</t>
        </is>
      </c>
      <c r="I8" t="n">
        <v>2.7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Grönvit nattviol</t>
        </is>
      </c>
      <c r="W8">
        <f>HYPERLINK("https://klasma.github.io/Logging_1278/artfynd/A 1782-2024 artfynd.xlsx", "A 1782-2024")</f>
        <v/>
      </c>
      <c r="X8">
        <f>HYPERLINK("https://klasma.github.io/Logging_1278/kartor/A 1782-2024 karta.png", "A 1782-2024")</f>
        <v/>
      </c>
      <c r="Y8">
        <f>HYPERLINK("https://klasma.github.io/Logging_1278/kartor_geotiff/A 1782-2024 georefererad karta.tif", "A 1782-2024")</f>
        <v/>
      </c>
      <c r="AA8">
        <f>HYPERLINK("https://klasma.github.io/Logging_1278/klagomål/A 1782-2024 FSC-klagomål.docx", "A 1782-2024")</f>
        <v/>
      </c>
      <c r="AB8">
        <f>HYPERLINK("https://klasma.github.io/Logging_1278/klagomålsmail/A 1782-2024 FSC-klagomål mail.docx", "A 1782-2024")</f>
        <v/>
      </c>
      <c r="AC8">
        <f>HYPERLINK("https://klasma.github.io/Logging_1278/tillsyn/A 1782-2024 tillsynsbegäran.docx", "A 1782-2024")</f>
        <v/>
      </c>
      <c r="AD8">
        <f>HYPERLINK("https://klasma.github.io/Logging_1278/tillsynsmail/A 1782-2024 tillsynsbegäran mail.docx", "A 1782-2024")</f>
        <v/>
      </c>
    </row>
    <row r="9" ht="15" customHeight="1">
      <c r="A9" t="inlineStr">
        <is>
          <t>A 18332-2025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45762</v>
      </c>
      <c r="E9" s="1" t="n">
        <v>46239</v>
      </c>
      <c r="F9" t="inlineStr">
        <is>
          <t>SKÅNE LÄN</t>
        </is>
      </c>
      <c r="G9" t="inlineStr">
        <is>
          <t>BÅSTAD</t>
        </is>
      </c>
      <c r="I9" t="n">
        <v>2.5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Källmossa</t>
        </is>
      </c>
      <c r="W9">
        <f>HYPERLINK("https://klasma.github.io/Logging_1278/artfynd/A 18332-2025 artfynd.xlsx", "A 18332-2025")</f>
        <v/>
      </c>
      <c r="X9">
        <f>HYPERLINK("https://klasma.github.io/Logging_1278/kartor/A 18332-2025 karta.png", "A 18332-2025")</f>
        <v/>
      </c>
      <c r="Y9">
        <f>HYPERLINK("https://klasma.github.io/Logging_1278/kartor_geotiff/A 18332-2025 georefererad karta.tif", "A 18332-2025")</f>
        <v/>
      </c>
      <c r="AA9">
        <f>HYPERLINK("https://klasma.github.io/Logging_1278/klagomål/A 18332-2025 FSC-klagomål.docx", "A 18332-2025")</f>
        <v/>
      </c>
      <c r="AB9">
        <f>HYPERLINK("https://klasma.github.io/Logging_1278/klagomålsmail/A 18332-2025 FSC-klagomål mail.docx", "A 18332-2025")</f>
        <v/>
      </c>
      <c r="AC9">
        <f>HYPERLINK("https://klasma.github.io/Logging_1278/tillsyn/A 18332-2025 tillsynsbegäran.docx", "A 18332-2025")</f>
        <v/>
      </c>
      <c r="AD9">
        <f>HYPERLINK("https://klasma.github.io/Logging_1278/tillsynsmail/A 18332-2025 tillsynsbegäran mail.docx", "A 18332-2025")</f>
        <v/>
      </c>
    </row>
    <row r="10" ht="15" customHeight="1">
      <c r="A10" t="inlineStr">
        <is>
          <t>A 389-2023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44929</v>
      </c>
      <c r="E10" s="1" t="n">
        <v>46239</v>
      </c>
      <c r="F10" t="inlineStr">
        <is>
          <t>SKÅNE LÄN</t>
        </is>
      </c>
      <c r="G10" t="inlineStr">
        <is>
          <t>BÅSTAD</t>
        </is>
      </c>
      <c r="I10" t="n">
        <v>2.5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Grönvit nattviol</t>
        </is>
      </c>
      <c r="W10">
        <f>HYPERLINK("https://klasma.github.io/Logging_1278/artfynd/A 389-2023 artfynd.xlsx", "A 389-2023")</f>
        <v/>
      </c>
      <c r="X10">
        <f>HYPERLINK("https://klasma.github.io/Logging_1278/kartor/A 389-2023 karta.png", "A 389-2023")</f>
        <v/>
      </c>
      <c r="Y10">
        <f>HYPERLINK("https://klasma.github.io/Logging_1278/kartor_geotiff/A 389-2023 georefererad karta.tif", "A 389-2023")</f>
        <v/>
      </c>
      <c r="AA10">
        <f>HYPERLINK("https://klasma.github.io/Logging_1278/klagomål/A 389-2023 FSC-klagomål.docx", "A 389-2023")</f>
        <v/>
      </c>
      <c r="AB10">
        <f>HYPERLINK("https://klasma.github.io/Logging_1278/klagomålsmail/A 389-2023 FSC-klagomål mail.docx", "A 389-2023")</f>
        <v/>
      </c>
      <c r="AC10">
        <f>HYPERLINK("https://klasma.github.io/Logging_1278/tillsyn/A 389-2023 tillsynsbegäran.docx", "A 389-2023")</f>
        <v/>
      </c>
      <c r="AD10">
        <f>HYPERLINK("https://klasma.github.io/Logging_1278/tillsynsmail/A 389-2023 tillsynsbegäran mail.docx", "A 389-2023")</f>
        <v/>
      </c>
    </row>
    <row r="11" ht="15" customHeight="1">
      <c r="A11" t="inlineStr">
        <is>
          <t>A 18328-2025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45762</v>
      </c>
      <c r="E11" s="1" t="n">
        <v>46239</v>
      </c>
      <c r="F11" t="inlineStr">
        <is>
          <t>SKÅNE LÄN</t>
        </is>
      </c>
      <c r="G11" t="inlineStr">
        <is>
          <t>BÅSTAD</t>
        </is>
      </c>
      <c r="I11" t="n">
        <v>1.8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Törnskata</t>
        </is>
      </c>
      <c r="W11">
        <f>HYPERLINK("https://klasma.github.io/Logging_1278/artfynd/A 18328-2025 artfynd.xlsx", "A 18328-2025")</f>
        <v/>
      </c>
      <c r="X11">
        <f>HYPERLINK("https://klasma.github.io/Logging_1278/kartor/A 18328-2025 karta.png", "A 18328-2025")</f>
        <v/>
      </c>
      <c r="Y11">
        <f>HYPERLINK("https://klasma.github.io/Logging_1278/kartor_geotiff/A 18328-2025 georefererad karta.tif", "A 18328-2025")</f>
        <v/>
      </c>
      <c r="AA11">
        <f>HYPERLINK("https://klasma.github.io/Logging_1278/klagomål/A 18328-2025 FSC-klagomål.docx", "A 18328-2025")</f>
        <v/>
      </c>
      <c r="AB11">
        <f>HYPERLINK("https://klasma.github.io/Logging_1278/klagomålsmail/A 18328-2025 FSC-klagomål mail.docx", "A 18328-2025")</f>
        <v/>
      </c>
      <c r="AC11">
        <f>HYPERLINK("https://klasma.github.io/Logging_1278/tillsyn/A 18328-2025 tillsynsbegäran.docx", "A 18328-2025")</f>
        <v/>
      </c>
      <c r="AD11">
        <f>HYPERLINK("https://klasma.github.io/Logging_1278/tillsynsmail/A 18328-2025 tillsynsbegäran mail.docx", "A 18328-2025")</f>
        <v/>
      </c>
      <c r="AE11">
        <f>HYPERLINK("https://klasma.github.io/Logging_1278/fåglar/A 18328-2025 prioriterade fågelarter.docx", "A 18328-2025")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46239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Skogshakmossa</t>
        </is>
      </c>
      <c r="W12">
        <f>HYPERLINK("https://klasma.github.io/Logging_1278/artfynd/S 1528-2023 artfynd.xlsx", "S 1528-2023")</f>
        <v/>
      </c>
      <c r="X12">
        <f>HYPERLINK("https://klasma.github.io/Logging_1278/kartor/S 1528-2023 karta.png", "S 1528-2023")</f>
        <v/>
      </c>
      <c r="Y12">
        <f>HYPERLINK("https://klasma.github.io/Logging_1278/kartor_geotiff/S 1528-2023 georefererad karta.tif", "S 1528-2023")</f>
        <v/>
      </c>
      <c r="AA12">
        <f>HYPERLINK("https://klasma.github.io/Logging_1278/klagomål/S 1528-2023 FSC-klagomål.docx", "S 1528-2023")</f>
        <v/>
      </c>
      <c r="AB12">
        <f>HYPERLINK("https://klasma.github.io/Logging_1278/klagomålsmail/S 1528-2023 FSC-klagomål mail.docx", "S 1528-2023")</f>
        <v/>
      </c>
      <c r="AC12">
        <f>HYPERLINK("https://klasma.github.io/Logging_1278/tillsyn/S 1528-2023 tillsynsbegäran.docx", "S 1528-2023")</f>
        <v/>
      </c>
      <c r="AD12">
        <f>HYPERLINK("https://klasma.github.io/Logging_1278/tillsynsmail/S 1528-2023 tillsynsbegäran mail.docx", "S 1528-2023")</f>
        <v/>
      </c>
    </row>
    <row r="13" ht="15" customHeight="1">
      <c r="A13" t="inlineStr">
        <is>
          <t>A 18434-2023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45042</v>
      </c>
      <c r="E13" s="1" t="n">
        <v>46239</v>
      </c>
      <c r="F13" t="inlineStr">
        <is>
          <t>SKÅNE LÄN</t>
        </is>
      </c>
      <c r="G13" t="inlineStr">
        <is>
          <t>BÅSTAD</t>
        </is>
      </c>
      <c r="I13" t="n">
        <v>0.7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10710-2025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45722</v>
      </c>
      <c r="E14" s="1" t="n">
        <v>46239</v>
      </c>
      <c r="F14" t="inlineStr">
        <is>
          <t>SKÅNE LÄN</t>
        </is>
      </c>
      <c r="G14" t="inlineStr">
        <is>
          <t>BÅSTAD</t>
        </is>
      </c>
      <c r="H14" t="inlineStr">
        <is>
          <t>Kommuner</t>
        </is>
      </c>
      <c r="I14" t="n">
        <v>1.8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53131-2021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44468</v>
      </c>
      <c r="E15" s="1" t="n">
        <v>46239</v>
      </c>
      <c r="F15" t="inlineStr">
        <is>
          <t>SKÅNE LÄN</t>
        </is>
      </c>
      <c r="G15" t="inlineStr">
        <is>
          <t>BÅSTAD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34400-2025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45846</v>
      </c>
      <c r="E16" s="1" t="n">
        <v>46239</v>
      </c>
      <c r="F16" t="inlineStr">
        <is>
          <t>SKÅNE LÄN</t>
        </is>
      </c>
      <c r="G16" t="inlineStr">
        <is>
          <t>BÅSTAD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4822-2023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44957</v>
      </c>
      <c r="E17" s="1" t="n">
        <v>46239</v>
      </c>
      <c r="F17" t="inlineStr">
        <is>
          <t>SKÅNE LÄN</t>
        </is>
      </c>
      <c r="G17" t="inlineStr">
        <is>
          <t>BÅSTAD</t>
        </is>
      </c>
      <c r="I17" t="n">
        <v>2.2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1531-2022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44573</v>
      </c>
      <c r="E18" s="1" t="n">
        <v>46239</v>
      </c>
      <c r="F18" t="inlineStr">
        <is>
          <t>SKÅNE LÄN</t>
        </is>
      </c>
      <c r="G18" t="inlineStr">
        <is>
          <t>BÅSTAD</t>
        </is>
      </c>
      <c r="I18" t="n">
        <v>1.6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4486-2024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45327</v>
      </c>
      <c r="E19" s="1" t="n">
        <v>46239</v>
      </c>
      <c r="F19" t="inlineStr">
        <is>
          <t>SKÅNE LÄN</t>
        </is>
      </c>
      <c r="G19" t="inlineStr">
        <is>
          <t>BÅSTAD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4487-2024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45327</v>
      </c>
      <c r="E20" s="1" t="n">
        <v>46239</v>
      </c>
      <c r="F20" t="inlineStr">
        <is>
          <t>SKÅNE LÄN</t>
        </is>
      </c>
      <c r="G20" t="inlineStr">
        <is>
          <t>BÅSTAD</t>
        </is>
      </c>
      <c r="I20" t="n">
        <v>1.9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18327-2025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45762</v>
      </c>
      <c r="E21" s="1" t="n">
        <v>46239</v>
      </c>
      <c r="F21" t="inlineStr">
        <is>
          <t>SKÅNE LÄN</t>
        </is>
      </c>
      <c r="G21" t="inlineStr">
        <is>
          <t>BÅSTAD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32610-2024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45513</v>
      </c>
      <c r="E22" s="1" t="n">
        <v>46239</v>
      </c>
      <c r="F22" t="inlineStr">
        <is>
          <t>SKÅNE LÄN</t>
        </is>
      </c>
      <c r="G22" t="inlineStr">
        <is>
          <t>BÅSTAD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635-2023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44930</v>
      </c>
      <c r="E23" s="1" t="n">
        <v>46239</v>
      </c>
      <c r="F23" t="inlineStr">
        <is>
          <t>SKÅNE LÄN</t>
        </is>
      </c>
      <c r="G23" t="inlineStr">
        <is>
          <t>BÅSTAD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48181-2024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45589</v>
      </c>
      <c r="E24" s="1" t="n">
        <v>46239</v>
      </c>
      <c r="F24" t="inlineStr">
        <is>
          <t>SKÅNE LÄN</t>
        </is>
      </c>
      <c r="G24" t="inlineStr">
        <is>
          <t>BÅSTAD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4493-2024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45327</v>
      </c>
      <c r="E25" s="1" t="n">
        <v>46239</v>
      </c>
      <c r="F25" t="inlineStr">
        <is>
          <t>SKÅNE LÄN</t>
        </is>
      </c>
      <c r="G25" t="inlineStr">
        <is>
          <t>BÅSTAD</t>
        </is>
      </c>
      <c r="I25" t="n">
        <v>1.8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5817-2025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45694</v>
      </c>
      <c r="E26" s="1" t="n">
        <v>46239</v>
      </c>
      <c r="F26" t="inlineStr">
        <is>
          <t>SKÅNE LÄN</t>
        </is>
      </c>
      <c r="G26" t="inlineStr">
        <is>
          <t>BÅSTAD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28854-2026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46198</v>
      </c>
      <c r="E27" s="1" t="n">
        <v>46239</v>
      </c>
      <c r="F27" t="inlineStr">
        <is>
          <t>SKÅNE LÄN</t>
        </is>
      </c>
      <c r="G27" t="inlineStr">
        <is>
          <t>BÅSTAD</t>
        </is>
      </c>
      <c r="I27" t="n">
        <v>1.9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31550-2026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46223</v>
      </c>
      <c r="E28" s="1" t="n">
        <v>46239</v>
      </c>
      <c r="F28" t="inlineStr">
        <is>
          <t>SKÅNE LÄN</t>
        </is>
      </c>
      <c r="G28" t="inlineStr">
        <is>
          <t>BÅSTAD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44928</v>
      </c>
      <c r="E29" s="1" t="n">
        <v>46239</v>
      </c>
      <c r="F29" t="inlineStr">
        <is>
          <t>SKÅNE LÄN</t>
        </is>
      </c>
      <c r="G29" t="inlineStr">
        <is>
          <t>BÅSTAD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21572-2023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45063</v>
      </c>
      <c r="E30" s="1" t="n">
        <v>46239</v>
      </c>
      <c r="F30" t="inlineStr">
        <is>
          <t>SKÅNE LÄN</t>
        </is>
      </c>
      <c r="G30" t="inlineStr">
        <is>
          <t>BÅSTAD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7731-2026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46062</v>
      </c>
      <c r="E31" s="1" t="n">
        <v>46239</v>
      </c>
      <c r="F31" t="inlineStr">
        <is>
          <t>SKÅNE LÄN</t>
        </is>
      </c>
      <c r="G31" t="inlineStr">
        <is>
          <t>BÅSTAD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28260-2023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45099</v>
      </c>
      <c r="E32" s="1" t="n">
        <v>46239</v>
      </c>
      <c r="F32" t="inlineStr">
        <is>
          <t>SKÅNE LÄN</t>
        </is>
      </c>
      <c r="G32" t="inlineStr">
        <is>
          <t>BÅSTAD</t>
        </is>
      </c>
      <c r="I32" t="n">
        <v>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16624-2026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46112</v>
      </c>
      <c r="E33" s="1" t="n">
        <v>46239</v>
      </c>
      <c r="F33" t="inlineStr">
        <is>
          <t>SKÅNE LÄN</t>
        </is>
      </c>
      <c r="G33" t="inlineStr">
        <is>
          <t>BÅSTAD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4481-2024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45327</v>
      </c>
      <c r="E34" s="1" t="n">
        <v>46239</v>
      </c>
      <c r="F34" t="inlineStr">
        <is>
          <t>SKÅNE LÄN</t>
        </is>
      </c>
      <c r="G34" t="inlineStr">
        <is>
          <t>BÅSTAD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>
      <c r="A35" t="inlineStr">
        <is>
          <t>S 4386-2022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44783</v>
      </c>
      <c r="E35" s="1" t="n">
        <v>46239</v>
      </c>
      <c r="F35" t="inlineStr">
        <is>
          <t>SKÅNE LÄN</t>
        </is>
      </c>
      <c r="G35" t="inlineStr">
        <is>
          <t>BÅSTAD</t>
        </is>
      </c>
      <c r="I35" t="n">
        <v>21.9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2026-08-05T20:34:44Z</dcterms:created>
  <dcterms:modified xmlns:dcterms="http://purl.org/dc/terms/" xmlns:xsi="http://www.w3.org/2001/XMLSchema-instance" xsi:type="dcterms:W3CDTF">2026-08-05T20:34:44Z</dcterms:modified>
</cp:coreProperties>
</file>