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46220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s="2" t="inlineStr">
        <is>
          <t>Entita
Talltita
Älg
Kambräken
Spillkråka
Grönsiska
Kungsfågel
Revlummer</t>
        </is>
      </c>
      <c r="V2">
        <f>HYPERLINK("https://klasma.github.io/Logging_1278/artfynd/S 3928-2024 artfynd.xlsx", "S 3928-2024")</f>
        <v/>
      </c>
      <c r="W2">
        <f>HYPERLINK("https://klasma.github.io/Logging_1278/kartor/S 3928-2024 karta.png", "S 3928-2024")</f>
        <v/>
      </c>
      <c r="Y2">
        <f>HYPERLINK("https://klasma.github.io/Logging_1278/klagomål/S 3928-2024 FSC-klagomål.docx", "S 3928-2024")</f>
        <v/>
      </c>
      <c r="Z2">
        <f>HYPERLINK("https://klasma.github.io/Logging_1278/klagomålsmail/S 3928-2024 FSC-klagomål mail.docx", "S 3928-2024")</f>
        <v/>
      </c>
      <c r="AA2">
        <f>HYPERLINK("https://klasma.github.io/Logging_1278/tillsyn/S 3928-2024 tillsynsbegäran.docx", "S 3928-2024")</f>
        <v/>
      </c>
      <c r="AB2">
        <f>HYPERLINK("https://klasma.github.io/Logging_1278/tillsynsmail/S 3928-2024 tillsynsbegäran mail.docx", "S 3928-2024")</f>
        <v/>
      </c>
      <c r="AC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46220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s="2" t="inlineStr">
        <is>
          <t>Entita
Talltita
Kambräken
Spillkråka
Grönsiska
Kungsfågel
Revlummer</t>
        </is>
      </c>
      <c r="V3">
        <f>HYPERLINK("https://klasma.github.io/Logging_1278/artfynd/S 5174-2024 artfynd.xlsx", "S 5174-2024")</f>
        <v/>
      </c>
      <c r="W3">
        <f>HYPERLINK("https://klasma.github.io/Logging_1278/kartor/S 5174-2024 karta.png", "S 5174-2024")</f>
        <v/>
      </c>
      <c r="Y3">
        <f>HYPERLINK("https://klasma.github.io/Logging_1278/klagomål/S 5174-2024 FSC-klagomål.docx", "S 5174-2024")</f>
        <v/>
      </c>
      <c r="Z3">
        <f>HYPERLINK("https://klasma.github.io/Logging_1278/klagomålsmail/S 5174-2024 FSC-klagomål mail.docx", "S 5174-2024")</f>
        <v/>
      </c>
      <c r="AA3">
        <f>HYPERLINK("https://klasma.github.io/Logging_1278/tillsyn/S 5174-2024 tillsynsbegäran.docx", "S 5174-2024")</f>
        <v/>
      </c>
      <c r="AB3">
        <f>HYPERLINK("https://klasma.github.io/Logging_1278/tillsynsmail/S 5174-2024 tillsynsbegäran mail.docx", "S 5174-2024")</f>
        <v/>
      </c>
      <c r="AC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46220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s="2" t="inlineStr">
        <is>
          <t>Igelkott
Blåmossa
Stubbspretmossa
Västlig hakmossa</t>
        </is>
      </c>
      <c r="V4">
        <f>HYPERLINK("https://klasma.github.io/Logging_1278/artfynd/A 38013-2022 artfynd.xlsx", "A 38013-2022")</f>
        <v/>
      </c>
      <c r="W4">
        <f>HYPERLINK("https://klasma.github.io/Logging_1278/kartor/A 38013-2022 karta.png", "A 38013-2022")</f>
        <v/>
      </c>
      <c r="Y4">
        <f>HYPERLINK("https://klasma.github.io/Logging_1278/klagomål/A 38013-2022 FSC-klagomål.docx", "A 38013-2022")</f>
        <v/>
      </c>
      <c r="Z4">
        <f>HYPERLINK("https://klasma.github.io/Logging_1278/klagomålsmail/A 38013-2022 FSC-klagomål mail.docx", "A 38013-2022")</f>
        <v/>
      </c>
      <c r="AA4">
        <f>HYPERLINK("https://klasma.github.io/Logging_1278/tillsyn/A 38013-2022 tillsynsbegäran.docx", "A 38013-2022")</f>
        <v/>
      </c>
      <c r="AB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46220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s="2" t="inlineStr">
        <is>
          <t>Skogsalm
Sårläka
Grönvit nattviol</t>
        </is>
      </c>
      <c r="V5">
        <f>HYPERLINK("https://klasma.github.io/Logging_1278/artfynd/A 2943-2023 artfynd.xlsx", "A 2943-2023")</f>
        <v/>
      </c>
      <c r="W5">
        <f>HYPERLINK("https://klasma.github.io/Logging_1278/kartor/A 2943-2023 karta.png", "A 2943-2023")</f>
        <v/>
      </c>
      <c r="Y5">
        <f>HYPERLINK("https://klasma.github.io/Logging_1278/klagomål/A 2943-2023 FSC-klagomål.docx", "A 2943-2023")</f>
        <v/>
      </c>
      <c r="Z5">
        <f>HYPERLINK("https://klasma.github.io/Logging_1278/klagomålsmail/A 2943-2023 FSC-klagomål mail.docx", "A 2943-2023")</f>
        <v/>
      </c>
      <c r="AA5">
        <f>HYPERLINK("https://klasma.github.io/Logging_1278/tillsyn/A 2943-2023 tillsynsbegäran.docx", "A 2943-2023")</f>
        <v/>
      </c>
      <c r="AB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46220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Skogsalm
Tvåblad
Grönvit nattviol</t>
        </is>
      </c>
      <c r="V6">
        <f>HYPERLINK("https://klasma.github.io/Logging_1278/artfynd/A 11517-2024 artfynd.xlsx", "A 11517-2024")</f>
        <v/>
      </c>
      <c r="W6">
        <f>HYPERLINK("https://klasma.github.io/Logging_1278/kartor/A 11517-2024 karta.png", "A 11517-2024")</f>
        <v/>
      </c>
      <c r="Y6">
        <f>HYPERLINK("https://klasma.github.io/Logging_1278/klagomål/A 11517-2024 FSC-klagomål.docx", "A 11517-2024")</f>
        <v/>
      </c>
      <c r="Z6">
        <f>HYPERLINK("https://klasma.github.io/Logging_1278/klagomålsmail/A 11517-2024 FSC-klagomål mail.docx", "A 11517-2024")</f>
        <v/>
      </c>
      <c r="AA6">
        <f>HYPERLINK("https://klasma.github.io/Logging_1278/tillsyn/A 11517-2024 tillsynsbegäran.docx", "A 11517-2024")</f>
        <v/>
      </c>
      <c r="AB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46220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s="2" t="inlineStr">
        <is>
          <t>Ask
Gullpudra</t>
        </is>
      </c>
      <c r="V7">
        <f>HYPERLINK("https://klasma.github.io/Logging_1278/artfynd/A 48974-2023 artfynd.xlsx", "A 48974-2023")</f>
        <v/>
      </c>
      <c r="W7">
        <f>HYPERLINK("https://klasma.github.io/Logging_1278/kartor/A 48974-2023 karta.png", "A 48974-2023")</f>
        <v/>
      </c>
      <c r="Y7">
        <f>HYPERLINK("https://klasma.github.io/Logging_1278/klagomål/A 48974-2023 FSC-klagomål.docx", "A 48974-2023")</f>
        <v/>
      </c>
      <c r="Z7">
        <f>HYPERLINK("https://klasma.github.io/Logging_1278/klagomålsmail/A 48974-2023 FSC-klagomål mail.docx", "A 48974-2023")</f>
        <v/>
      </c>
      <c r="AA7">
        <f>HYPERLINK("https://klasma.github.io/Logging_1278/tillsyn/A 48974-2023 tillsynsbegäran.docx", "A 48974-2023")</f>
        <v/>
      </c>
      <c r="AB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46220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Grönvit nattviol</t>
        </is>
      </c>
      <c r="V8">
        <f>HYPERLINK("https://klasma.github.io/Logging_1278/artfynd/A 389-2023 artfynd.xlsx", "A 389-2023")</f>
        <v/>
      </c>
      <c r="W8">
        <f>HYPERLINK("https://klasma.github.io/Logging_1278/kartor/A 389-2023 karta.png", "A 389-2023")</f>
        <v/>
      </c>
      <c r="Y8">
        <f>HYPERLINK("https://klasma.github.io/Logging_1278/klagomål/A 389-2023 FSC-klagomål.docx", "A 389-2023")</f>
        <v/>
      </c>
      <c r="Z8">
        <f>HYPERLINK("https://klasma.github.io/Logging_1278/klagomålsmail/A 389-2023 FSC-klagomål mail.docx", "A 389-2023")</f>
        <v/>
      </c>
      <c r="AA8">
        <f>HYPERLINK("https://klasma.github.io/Logging_1278/tillsyn/A 389-2023 tillsynsbegäran.docx", "A 389-2023")</f>
        <v/>
      </c>
      <c r="AB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46220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Törnskata</t>
        </is>
      </c>
      <c r="V9">
        <f>HYPERLINK("https://klasma.github.io/Logging_1278/artfynd/A 18328-2025 artfynd.xlsx", "A 18328-2025")</f>
        <v/>
      </c>
      <c r="W9">
        <f>HYPERLINK("https://klasma.github.io/Logging_1278/kartor/A 18328-2025 karta.png", "A 18328-2025")</f>
        <v/>
      </c>
      <c r="Y9">
        <f>HYPERLINK("https://klasma.github.io/Logging_1278/klagomål/A 18328-2025 FSC-klagomål.docx", "A 18328-2025")</f>
        <v/>
      </c>
      <c r="Z9">
        <f>HYPERLINK("https://klasma.github.io/Logging_1278/klagomålsmail/A 18328-2025 FSC-klagomål mail.docx", "A 18328-2025")</f>
        <v/>
      </c>
      <c r="AA9">
        <f>HYPERLINK("https://klasma.github.io/Logging_1278/tillsyn/A 18328-2025 tillsynsbegäran.docx", "A 18328-2025")</f>
        <v/>
      </c>
      <c r="AB9">
        <f>HYPERLINK("https://klasma.github.io/Logging_1278/tillsynsmail/A 18328-2025 tillsynsbegäran mail.docx", "A 18328-2025")</f>
        <v/>
      </c>
      <c r="AC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46220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Grönvit nattviol</t>
        </is>
      </c>
      <c r="V10">
        <f>HYPERLINK("https://klasma.github.io/Logging_1278/artfynd/A 1782-2024 artfynd.xlsx", "A 1782-2024")</f>
        <v/>
      </c>
      <c r="W10">
        <f>HYPERLINK("https://klasma.github.io/Logging_1278/kartor/A 1782-2024 karta.png", "A 1782-2024")</f>
        <v/>
      </c>
      <c r="Y10">
        <f>HYPERLINK("https://klasma.github.io/Logging_1278/klagomål/A 1782-2024 FSC-klagomål.docx", "A 1782-2024")</f>
        <v/>
      </c>
      <c r="Z10">
        <f>HYPERLINK("https://klasma.github.io/Logging_1278/klagomålsmail/A 1782-2024 FSC-klagomål mail.docx", "A 1782-2024")</f>
        <v/>
      </c>
      <c r="AA10">
        <f>HYPERLINK("https://klasma.github.io/Logging_1278/tillsyn/A 1782-2024 tillsynsbegäran.docx", "A 1782-2024")</f>
        <v/>
      </c>
      <c r="AB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46220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Källmossa</t>
        </is>
      </c>
      <c r="V11">
        <f>HYPERLINK("https://klasma.github.io/Logging_1278/artfynd/A 18332-2025 artfynd.xlsx", "A 18332-2025")</f>
        <v/>
      </c>
      <c r="W11">
        <f>HYPERLINK("https://klasma.github.io/Logging_1278/kartor/A 18332-2025 karta.png", "A 18332-2025")</f>
        <v/>
      </c>
      <c r="Y11">
        <f>HYPERLINK("https://klasma.github.io/Logging_1278/klagomål/A 18332-2025 FSC-klagomål.docx", "A 18332-2025")</f>
        <v/>
      </c>
      <c r="Z11">
        <f>HYPERLINK("https://klasma.github.io/Logging_1278/klagomålsmail/A 18332-2025 FSC-klagomål mail.docx", "A 18332-2025")</f>
        <v/>
      </c>
      <c r="AA11">
        <f>HYPERLINK("https://klasma.github.io/Logging_1278/tillsyn/A 18332-2025 tillsynsbegäran.docx", "A 18332-2025")</f>
        <v/>
      </c>
      <c r="AB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46220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Skogshakmossa</t>
        </is>
      </c>
      <c r="V12">
        <f>HYPERLINK("https://klasma.github.io/Logging_1278/artfynd/S 1528-2023 artfynd.xlsx", "S 1528-2023")</f>
        <v/>
      </c>
      <c r="W12">
        <f>HYPERLINK("https://klasma.github.io/Logging_1278/kartor/S 1528-2023 karta.png", "S 1528-2023")</f>
        <v/>
      </c>
      <c r="Y12">
        <f>HYPERLINK("https://klasma.github.io/Logging_1278/klagomål/S 1528-2023 FSC-klagomål.docx", "S 1528-2023")</f>
        <v/>
      </c>
      <c r="Z12">
        <f>HYPERLINK("https://klasma.github.io/Logging_1278/klagomålsmail/S 1528-2023 FSC-klagomål mail.docx", "S 1528-2023")</f>
        <v/>
      </c>
      <c r="AA12">
        <f>HYPERLINK("https://klasma.github.io/Logging_1278/tillsyn/S 1528-2023 tillsynsbegäran.docx", "S 1528-2023")</f>
        <v/>
      </c>
      <c r="AB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46220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46220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46220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28260-2023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46220</v>
      </c>
      <c r="F16" t="inlineStr">
        <is>
          <t>SKÅNE LÄN</t>
        </is>
      </c>
      <c r="G16" t="inlineStr">
        <is>
          <t>BÅSTAD</t>
        </is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46220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46220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46220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46220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46220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46220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46220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46220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46220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46220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46220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46220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46220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46220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46220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46220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46220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46220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2026-07-17T01:45:45Z</dcterms:created>
  <dcterms:modified xmlns:dcterms="http://purl.org/dc/terms/" xmlns:xsi="http://www.w3.org/2001/XMLSchema-instance" xsi:type="dcterms:W3CDTF">2026-07-17T01:45:45Z</dcterms:modified>
</cp:coreProperties>
</file>