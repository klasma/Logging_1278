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46324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46324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46324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2943-2023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44945</v>
      </c>
      <c r="E7" s="1" t="n">
        <v>46324</v>
      </c>
      <c r="F7" t="inlineStr">
        <is>
          <t>SKÅNE LÄN</t>
        </is>
      </c>
      <c r="G7" t="inlineStr">
        <is>
          <t>BÅSTAD</t>
        </is>
      </c>
      <c r="I7" t="n">
        <v>11.3</v>
      </c>
      <c r="J7" t="n">
        <v>1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Skogsalm
Sårläka
Grönvit nattviol</t>
        </is>
      </c>
      <c r="W7">
        <f>HYPERLINK("https://klasma.github.io/Logging_1278/artfynd/A 2943-2023 artfynd.xlsx", "A 2943-2023")</f>
        <v/>
      </c>
      <c r="X7">
        <f>HYPERLINK("https://klasma.github.io/Logging_1278/kartor/A 2943-2023 karta.png", "A 2943-2023")</f>
        <v/>
      </c>
      <c r="Y7">
        <f>HYPERLINK("https://klasma.github.io/Logging_1278/kartor_geotiff/A 2943-2023 georefererad karta.tif", "A 2943-2023")</f>
        <v/>
      </c>
      <c r="AA7">
        <f>HYPERLINK("https://klasma.github.io/Logging_1278/klagomål/A 2943-2023 FSC-klagomål.docx", "A 2943-2023")</f>
        <v/>
      </c>
      <c r="AB7">
        <f>HYPERLINK("https://klasma.github.io/Logging_1278/klagomålsmail/A 2943-2023 FSC-klagomål mail.docx", "A 2943-2023")</f>
        <v/>
      </c>
      <c r="AC7">
        <f>HYPERLINK("https://klasma.github.io/Logging_1278/tillsyn/A 2943-2023 tillsynsbegäran.docx", "A 2943-2023")</f>
        <v/>
      </c>
      <c r="AD7">
        <f>HYPERLINK("https://klasma.github.io/Logging_1278/tillsynsmail/A 2943-2023 tillsynsbegäran mail.docx", "A 2943-2023")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46324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46324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46324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46324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A 18328-2025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45762</v>
      </c>
      <c r="E12" s="1" t="n">
        <v>46324</v>
      </c>
      <c r="F12" t="inlineStr">
        <is>
          <t>SKÅNE LÄN</t>
        </is>
      </c>
      <c r="G12" t="inlineStr">
        <is>
          <t>BÅSTAD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Törnskata</t>
        </is>
      </c>
      <c r="W12">
        <f>HYPERLINK("https://klasma.github.io/Logging_1278/artfynd/A 18328-2025 artfynd.xlsx", "A 18328-2025")</f>
        <v/>
      </c>
      <c r="X12">
        <f>HYPERLINK("https://klasma.github.io/Logging_1278/kartor/A 18328-2025 karta.png", "A 18328-2025")</f>
        <v/>
      </c>
      <c r="Y12">
        <f>HYPERLINK("https://klasma.github.io/Logging_1278/kartor_geotiff/A 18328-2025 georefererad karta.tif", "A 18328-2025")</f>
        <v/>
      </c>
      <c r="AA12">
        <f>HYPERLINK("https://klasma.github.io/Logging_1278/klagomål/A 18328-2025 FSC-klagomål.docx", "A 18328-2025")</f>
        <v/>
      </c>
      <c r="AB12">
        <f>HYPERLINK("https://klasma.github.io/Logging_1278/klagomålsmail/A 18328-2025 FSC-klagomål mail.docx", "A 18328-2025")</f>
        <v/>
      </c>
      <c r="AC12">
        <f>HYPERLINK("https://klasma.github.io/Logging_1278/tillsyn/A 18328-2025 tillsynsbegäran.docx", "A 18328-2025")</f>
        <v/>
      </c>
      <c r="AD12">
        <f>HYPERLINK("https://klasma.github.io/Logging_1278/tillsynsmail/A 18328-2025 tillsynsbegäran mail.docx", "A 18328-2025")</f>
        <v/>
      </c>
      <c r="AE12">
        <f>HYPERLINK("https://klasma.github.io/Logging_1278/fåglar/A 18328-2025 prioriterade fågelarter.docx", "A 18328-2025")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46324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24-2023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44928</v>
      </c>
      <c r="E14" s="1" t="n">
        <v>46324</v>
      </c>
      <c r="F14" t="inlineStr">
        <is>
          <t>SKÅNE LÄN</t>
        </is>
      </c>
      <c r="G14" t="inlineStr">
        <is>
          <t>BÅSTAD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46324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46324</v>
      </c>
      <c r="F16" t="inlineStr">
        <is>
          <t>SKÅNE LÄN</t>
        </is>
      </c>
      <c r="G16" t="inlineStr">
        <is>
          <t>BÅSTAD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46324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45063</v>
      </c>
      <c r="E18" s="1" t="n">
        <v>46324</v>
      </c>
      <c r="F18" t="inlineStr">
        <is>
          <t>SKÅNE LÄN</t>
        </is>
      </c>
      <c r="G18" t="inlineStr">
        <is>
          <t>BÅSTAD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18327-2025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46324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46324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46324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46324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45042</v>
      </c>
      <c r="E23" s="1" t="n">
        <v>46324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46324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5817-2025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45694</v>
      </c>
      <c r="E25" s="1" t="n">
        <v>46324</v>
      </c>
      <c r="F25" t="inlineStr">
        <is>
          <t>SKÅNE LÄN</t>
        </is>
      </c>
      <c r="G25" t="inlineStr">
        <is>
          <t>BÅSTAD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48181-2024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45589</v>
      </c>
      <c r="E26" s="1" t="n">
        <v>46324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7731-2026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46062</v>
      </c>
      <c r="E27" s="1" t="n">
        <v>46324</v>
      </c>
      <c r="F27" t="inlineStr">
        <is>
          <t>SKÅNE LÄN</t>
        </is>
      </c>
      <c r="G27" t="inlineStr">
        <is>
          <t>BÅSTAD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46324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46324</v>
      </c>
      <c r="F29" t="inlineStr">
        <is>
          <t>SKÅNE LÄN</t>
        </is>
      </c>
      <c r="G29" t="inlineStr">
        <is>
          <t>BÅSTAD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45099</v>
      </c>
      <c r="E30" s="1" t="n">
        <v>46324</v>
      </c>
      <c r="F30" t="inlineStr">
        <is>
          <t>SKÅNE LÄN</t>
        </is>
      </c>
      <c r="G30" t="inlineStr">
        <is>
          <t>BÅSTAD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46324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46324</v>
      </c>
      <c r="F32" t="inlineStr">
        <is>
          <t>SKÅNE LÄN</t>
        </is>
      </c>
      <c r="G32" t="inlineStr">
        <is>
          <t>BÅSTAD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46324</v>
      </c>
      <c r="F33" t="inlineStr">
        <is>
          <t>SKÅNE LÄN</t>
        </is>
      </c>
      <c r="G33" t="inlineStr">
        <is>
          <t>BÅSTAD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46324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