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46296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46296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46296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11517-2024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45372</v>
      </c>
      <c r="E5" s="1" t="n">
        <v>46296</v>
      </c>
      <c r="F5" t="inlineStr">
        <is>
          <t>SKÅNE LÄN</t>
        </is>
      </c>
      <c r="G5" t="inlineStr">
        <is>
          <t>BÅSTAD</t>
        </is>
      </c>
      <c r="I5" t="n">
        <v>0.7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Skogsalm
Tvåblad
Grönvit nattviol</t>
        </is>
      </c>
      <c r="W5">
        <f>HYPERLINK("https://klasma.github.io/Logging_1278/artfynd/A 11517-2024 artfynd.xlsx", "A 11517-2024")</f>
        <v/>
      </c>
      <c r="X5">
        <f>HYPERLINK("https://klasma.github.io/Logging_1278/kartor/A 11517-2024 karta.png", "A 11517-2024")</f>
        <v/>
      </c>
      <c r="Y5">
        <f>HYPERLINK("https://klasma.github.io/Logging_1278/kartor_geotiff/A 11517-2024 georefererad karta.tif", "A 11517-2024")</f>
        <v/>
      </c>
      <c r="AA5">
        <f>HYPERLINK("https://klasma.github.io/Logging_1278/klagomål/A 11517-2024 FSC-klagomål.docx", "A 11517-2024")</f>
        <v/>
      </c>
      <c r="AB5">
        <f>HYPERLINK("https://klasma.github.io/Logging_1278/klagomålsmail/A 11517-2024 FSC-klagomål mail.docx", "A 11517-2024")</f>
        <v/>
      </c>
      <c r="AC5">
        <f>HYPERLINK("https://klasma.github.io/Logging_1278/tillsyn/A 11517-2024 tillsynsbegäran.docx", "A 11517-2024")</f>
        <v/>
      </c>
      <c r="AD5">
        <f>HYPERLINK("https://klasma.github.io/Logging_1278/tillsynsmail/A 11517-2024 tillsynsbegäran mail.docx", "A 11517-2024")</f>
        <v/>
      </c>
    </row>
    <row r="6" ht="15" customHeight="1">
      <c r="A6" t="inlineStr">
        <is>
          <t>A 2943-2023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44945</v>
      </c>
      <c r="E6" s="1" t="n">
        <v>46296</v>
      </c>
      <c r="F6" t="inlineStr">
        <is>
          <t>SKÅNE LÄN</t>
        </is>
      </c>
      <c r="G6" t="inlineStr">
        <is>
          <t>BÅSTAD</t>
        </is>
      </c>
      <c r="I6" t="n">
        <v>11.3</v>
      </c>
      <c r="J6" t="n">
        <v>1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3</v>
      </c>
      <c r="U6" t="n">
        <v>3</v>
      </c>
      <c r="V6" s="2" t="inlineStr">
        <is>
          <t>Skogsalm
Sårläka
Grönvit nattviol</t>
        </is>
      </c>
      <c r="W6">
        <f>HYPERLINK("https://klasma.github.io/Logging_1278/artfynd/A 2943-2023 artfynd.xlsx", "A 2943-2023")</f>
        <v/>
      </c>
      <c r="X6">
        <f>HYPERLINK("https://klasma.github.io/Logging_1278/kartor/A 2943-2023 karta.png", "A 2943-2023")</f>
        <v/>
      </c>
      <c r="Y6">
        <f>HYPERLINK("https://klasma.github.io/Logging_1278/kartor_geotiff/A 2943-2023 georefererad karta.tif", "A 2943-2023")</f>
        <v/>
      </c>
      <c r="AA6">
        <f>HYPERLINK("https://klasma.github.io/Logging_1278/klagomål/A 2943-2023 FSC-klagomål.docx", "A 2943-2023")</f>
        <v/>
      </c>
      <c r="AB6">
        <f>HYPERLINK("https://klasma.github.io/Logging_1278/klagomålsmail/A 2943-2023 FSC-klagomål mail.docx", "A 2943-2023")</f>
        <v/>
      </c>
      <c r="AC6">
        <f>HYPERLINK("https://klasma.github.io/Logging_1278/tillsyn/A 2943-2023 tillsynsbegäran.docx", "A 2943-2023")</f>
        <v/>
      </c>
      <c r="AD6">
        <f>HYPERLINK("https://klasma.github.io/Logging_1278/tillsynsmail/A 2943-2023 tillsynsbegäran mail.docx", "A 2943-2023")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46296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46296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46296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46296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46296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46296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46296</v>
      </c>
      <c r="F13" t="inlineStr">
        <is>
          <t>SKÅNE LÄN</t>
        </is>
      </c>
      <c r="G13" t="inlineStr">
        <is>
          <t>BÅSTAD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48181-2024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45589</v>
      </c>
      <c r="E14" s="1" t="n">
        <v>46296</v>
      </c>
      <c r="F14" t="inlineStr">
        <is>
          <t>SKÅNE LÄN</t>
        </is>
      </c>
      <c r="G14" t="inlineStr">
        <is>
          <t>BÅSTAD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4822-2023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44957</v>
      </c>
      <c r="E15" s="1" t="n">
        <v>46296</v>
      </c>
      <c r="F15" t="inlineStr">
        <is>
          <t>SKÅNE LÄN</t>
        </is>
      </c>
      <c r="G15" t="inlineStr">
        <is>
          <t>BÅSTAD</t>
        </is>
      </c>
      <c r="I15" t="n">
        <v>2.2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4481-2024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45327</v>
      </c>
      <c r="E16" s="1" t="n">
        <v>46296</v>
      </c>
      <c r="F16" t="inlineStr">
        <is>
          <t>SKÅNE LÄN</t>
        </is>
      </c>
      <c r="G16" t="inlineStr">
        <is>
          <t>BÅSTAD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21572-2023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45063</v>
      </c>
      <c r="E17" s="1" t="n">
        <v>46296</v>
      </c>
      <c r="F17" t="inlineStr">
        <is>
          <t>SKÅNE LÄN</t>
        </is>
      </c>
      <c r="G17" t="inlineStr">
        <is>
          <t>BÅSTAD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44573</v>
      </c>
      <c r="E18" s="1" t="n">
        <v>46296</v>
      </c>
      <c r="F18" t="inlineStr">
        <is>
          <t>SKÅNE LÄN</t>
        </is>
      </c>
      <c r="G18" t="inlineStr">
        <is>
          <t>BÅSTAD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18327-2025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46296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44930</v>
      </c>
      <c r="E20" s="1" t="n">
        <v>46296</v>
      </c>
      <c r="F20" t="inlineStr">
        <is>
          <t>SKÅNE LÄN</t>
        </is>
      </c>
      <c r="G20" t="inlineStr">
        <is>
          <t>BÅSTAD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32610-2024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45513</v>
      </c>
      <c r="E21" s="1" t="n">
        <v>46296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4493-2024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45327</v>
      </c>
      <c r="E22" s="1" t="n">
        <v>46296</v>
      </c>
      <c r="F22" t="inlineStr">
        <is>
          <t>SKÅNE LÄN</t>
        </is>
      </c>
      <c r="G22" t="inlineStr">
        <is>
          <t>BÅSTAD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18434-2023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45042</v>
      </c>
      <c r="E23" s="1" t="n">
        <v>46296</v>
      </c>
      <c r="F23" t="inlineStr">
        <is>
          <t>SKÅNE LÄN</t>
        </is>
      </c>
      <c r="G23" t="inlineStr">
        <is>
          <t>BÅSTAD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45327</v>
      </c>
      <c r="E24" s="1" t="n">
        <v>46296</v>
      </c>
      <c r="F24" t="inlineStr">
        <is>
          <t>SKÅNE LÄN</t>
        </is>
      </c>
      <c r="G24" t="inlineStr">
        <is>
          <t>BÅSTAD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10710-2025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45722</v>
      </c>
      <c r="E25" s="1" t="n">
        <v>46296</v>
      </c>
      <c r="F25" t="inlineStr">
        <is>
          <t>SKÅNE LÄN</t>
        </is>
      </c>
      <c r="G25" t="inlineStr">
        <is>
          <t>BÅSTAD</t>
        </is>
      </c>
      <c r="H25" t="inlineStr">
        <is>
          <t>Kommuner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5817-2025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45694</v>
      </c>
      <c r="E26" s="1" t="n">
        <v>46296</v>
      </c>
      <c r="F26" t="inlineStr">
        <is>
          <t>SKÅNE LÄN</t>
        </is>
      </c>
      <c r="G26" t="inlineStr">
        <is>
          <t>BÅSTAD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34400-2025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46296</v>
      </c>
      <c r="F27" t="inlineStr">
        <is>
          <t>SKÅNE LÄN</t>
        </is>
      </c>
      <c r="G27" t="inlineStr">
        <is>
          <t>BÅSTAD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46296</v>
      </c>
      <c r="F28" t="inlineStr">
        <is>
          <t>SKÅNE LÄN</t>
        </is>
      </c>
      <c r="G28" t="inlineStr">
        <is>
          <t>BÅSTAD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28260-2023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45099</v>
      </c>
      <c r="E29" s="1" t="n">
        <v>46296</v>
      </c>
      <c r="F29" t="inlineStr">
        <is>
          <t>SKÅNE LÄN</t>
        </is>
      </c>
      <c r="G29" t="inlineStr">
        <is>
          <t>BÅSTAD</t>
        </is>
      </c>
      <c r="I29" t="n">
        <v>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7731-2026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46062</v>
      </c>
      <c r="E30" s="1" t="n">
        <v>46296</v>
      </c>
      <c r="F30" t="inlineStr">
        <is>
          <t>SKÅNE LÄN</t>
        </is>
      </c>
      <c r="G30" t="inlineStr">
        <is>
          <t>BÅSTAD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16624-2026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46296</v>
      </c>
      <c r="F31" t="inlineStr">
        <is>
          <t>SKÅNE LÄN</t>
        </is>
      </c>
      <c r="G31" t="inlineStr">
        <is>
          <t>BÅSTAD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31550-2026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46223</v>
      </c>
      <c r="E32" s="1" t="n">
        <v>46296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28854-2026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46198</v>
      </c>
      <c r="E33" s="1" t="n">
        <v>46296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46296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2026-10-01T02:04:40Z</dcterms:created>
  <dcterms:modified xmlns:dcterms="http://purl.org/dc/terms/" xmlns:xsi="http://www.w3.org/2001/XMLSchema-instance" xsi:type="dcterms:W3CDTF">2026-10-01T02:04:40Z</dcterms:modified>
</cp:coreProperties>
</file>