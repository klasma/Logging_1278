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45911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45911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45911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42412-2025</t>
        </is>
      </c>
      <c r="B5" s="1" t="n">
        <v>45905</v>
      </c>
      <c r="C5" s="1" t="n">
        <v>45911</v>
      </c>
      <c r="D5" t="inlineStr">
        <is>
          <t>SKÅNE LÄN</t>
        </is>
      </c>
      <c r="E5" t="inlineStr">
        <is>
          <t>BÅSTAD</t>
        </is>
      </c>
      <c r="G5" t="n">
        <v>24.3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Bokskogsugglemott</t>
        </is>
      </c>
      <c r="S5">
        <f>HYPERLINK("https://klasma.github.io/Logging_1278/artfynd/A 42412-2025 artfynd.xlsx", "A 42412-2025")</f>
        <v/>
      </c>
      <c r="T5">
        <f>HYPERLINK("https://klasma.github.io/Logging_1278/kartor/A 42412-2025 karta.png", "A 42412-2025")</f>
        <v/>
      </c>
      <c r="V5">
        <f>HYPERLINK("https://klasma.github.io/Logging_1278/klagomål/A 42412-2025 FSC-klagomål.docx", "A 42412-2025")</f>
        <v/>
      </c>
      <c r="W5">
        <f>HYPERLINK("https://klasma.github.io/Logging_1278/klagomålsmail/A 42412-2025 FSC-klagomål mail.docx", "A 42412-2025")</f>
        <v/>
      </c>
      <c r="X5">
        <f>HYPERLINK("https://klasma.github.io/Logging_1278/tillsyn/A 42412-2025 tillsynsbegäran.docx", "A 42412-2025")</f>
        <v/>
      </c>
      <c r="Y5">
        <f>HYPERLINK("https://klasma.github.io/Logging_1278/tillsynsmail/A 42412-2025 tillsynsbegäran mail.docx", "A 42412-2025")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45911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45911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4493-2024</t>
        </is>
      </c>
      <c r="B8" s="1" t="n">
        <v>45327</v>
      </c>
      <c r="C8" s="1" t="n">
        <v>45911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45911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45911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48974-2023</t>
        </is>
      </c>
      <c r="B11" s="1" t="n">
        <v>45209</v>
      </c>
      <c r="C11" s="1" t="n">
        <v>45911</v>
      </c>
      <c r="D11" t="inlineStr">
        <is>
          <t>SKÅNE LÄN</t>
        </is>
      </c>
      <c r="E11" t="inlineStr">
        <is>
          <t>BÅSTAD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4481-2024</t>
        </is>
      </c>
      <c r="B12" s="1" t="n">
        <v>45327</v>
      </c>
      <c r="C12" s="1" t="n">
        <v>45911</v>
      </c>
      <c r="D12" t="inlineStr">
        <is>
          <t>SKÅNE LÄN</t>
        </is>
      </c>
      <c r="E12" t="inlineStr">
        <is>
          <t>BÅSTAD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1531-2022</t>
        </is>
      </c>
      <c r="B13" s="1" t="n">
        <v>44573</v>
      </c>
      <c r="C13" s="1" t="n">
        <v>45911</v>
      </c>
      <c r="D13" t="inlineStr">
        <is>
          <t>SKÅNE LÄN</t>
        </is>
      </c>
      <c r="E13" t="inlineStr">
        <is>
          <t>BÅSTAD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45911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45911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32610-2024</t>
        </is>
      </c>
      <c r="B16" s="1" t="n">
        <v>45513</v>
      </c>
      <c r="C16" s="1" t="n">
        <v>45911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38013-2022</t>
        </is>
      </c>
      <c r="B17" s="1" t="n">
        <v>44811</v>
      </c>
      <c r="C17" s="1" t="n">
        <v>45911</v>
      </c>
      <c r="D17" t="inlineStr">
        <is>
          <t>SKÅNE LÄN</t>
        </is>
      </c>
      <c r="E17" t="inlineStr">
        <is>
          <t>BÅSTAD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10710-2025</t>
        </is>
      </c>
      <c r="B18" s="1" t="n">
        <v>45722</v>
      </c>
      <c r="C18" s="1" t="n">
        <v>45911</v>
      </c>
      <c r="D18" t="inlineStr">
        <is>
          <t>SKÅNE LÄN</t>
        </is>
      </c>
      <c r="E18" t="inlineStr">
        <is>
          <t>BÅSTAD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45911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635-2023</t>
        </is>
      </c>
      <c r="B20" s="1" t="n">
        <v>44930</v>
      </c>
      <c r="C20" s="1" t="n">
        <v>45911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48181-2024</t>
        </is>
      </c>
      <c r="B21" s="1" t="n">
        <v>45589</v>
      </c>
      <c r="C21" s="1" t="n">
        <v>45911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45911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18328-2025</t>
        </is>
      </c>
      <c r="B23" s="1" t="n">
        <v>45762</v>
      </c>
      <c r="C23" s="1" t="n">
        <v>45911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45911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53131-2021</t>
        </is>
      </c>
      <c r="B25" s="1" t="n">
        <v>44468</v>
      </c>
      <c r="C25" s="1" t="n">
        <v>45911</v>
      </c>
      <c r="D25" t="inlineStr">
        <is>
          <t>SKÅNE LÄN</t>
        </is>
      </c>
      <c r="E25" t="inlineStr">
        <is>
          <t>BÅSTAD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34400-2025</t>
        </is>
      </c>
      <c r="B26" s="1" t="n">
        <v>45846.61351851852</v>
      </c>
      <c r="C26" s="1" t="n">
        <v>45911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34401-2025</t>
        </is>
      </c>
      <c r="B27" s="1" t="n">
        <v>45846.6140162037</v>
      </c>
      <c r="C27" s="1" t="n">
        <v>45911</v>
      </c>
      <c r="D27" t="inlineStr">
        <is>
          <t>SKÅNE LÄN</t>
        </is>
      </c>
      <c r="E27" t="inlineStr">
        <is>
          <t>BÅSTAD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45911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6170-2021</t>
        </is>
      </c>
      <c r="B29" s="1" t="n">
        <v>44232</v>
      </c>
      <c r="C29" s="1" t="n">
        <v>45911</v>
      </c>
      <c r="D29" t="inlineStr">
        <is>
          <t>SKÅNE LÄN</t>
        </is>
      </c>
      <c r="E29" t="inlineStr">
        <is>
          <t>BÅSTAD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42417-2025</t>
        </is>
      </c>
      <c r="B30" s="1" t="n">
        <v>45905.39577546297</v>
      </c>
      <c r="C30" s="1" t="n">
        <v>45911</v>
      </c>
      <c r="D30" t="inlineStr">
        <is>
          <t>SKÅNE LÄN</t>
        </is>
      </c>
      <c r="E30" t="inlineStr">
        <is>
          <t>BÅSTAD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45911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24-2023</t>
        </is>
      </c>
      <c r="B32" s="1" t="n">
        <v>44928</v>
      </c>
      <c r="C32" s="1" t="n">
        <v>45911</v>
      </c>
      <c r="D32" t="inlineStr">
        <is>
          <t>SKÅNE LÄN</t>
        </is>
      </c>
      <c r="E32" t="inlineStr">
        <is>
          <t>BÅSTAD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21572-2023</t>
        </is>
      </c>
      <c r="B33" s="1" t="n">
        <v>45063</v>
      </c>
      <c r="C33" s="1" t="n">
        <v>45911</v>
      </c>
      <c r="D33" t="inlineStr">
        <is>
          <t>SKÅNE LÄN</t>
        </is>
      </c>
      <c r="E33" t="inlineStr">
        <is>
          <t>BÅSTAD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45911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2025-09-11T08:53:03Z</dcterms:created>
  <dcterms:modified xmlns:dcterms="http://purl.org/dc/terms/" xmlns:xsi="http://www.w3.org/2001/XMLSchema-instance" xsi:type="dcterms:W3CDTF">2025-09-11T08:53:03Z</dcterms:modified>
</cp:coreProperties>
</file>