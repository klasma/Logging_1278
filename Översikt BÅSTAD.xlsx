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46198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46198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46198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18328-2025</t>
        </is>
      </c>
      <c r="B6" s="1" t="n">
        <v>45762</v>
      </c>
      <c r="C6" s="1" t="n">
        <v>46198</v>
      </c>
      <c r="D6" t="inlineStr">
        <is>
          <t>SKÅNE LÄN</t>
        </is>
      </c>
      <c r="E6" t="inlineStr">
        <is>
          <t>BÅSTAD</t>
        </is>
      </c>
      <c r="G6" t="n">
        <v>1.8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HYPERLINK("https://klasma.github.io/Logging_1278/artfynd/A 18328-2025 artfynd.xlsx", "A 18328-2025")</f>
        <v/>
      </c>
      <c r="T6">
        <f>HYPERLINK("https://klasma.github.io/Logging_1278/kartor/A 18328-2025 karta.png", "A 18328-2025")</f>
        <v/>
      </c>
      <c r="V6">
        <f>HYPERLINK("https://klasma.github.io/Logging_1278/klagomål/A 18328-2025 FSC-klagomål.docx", "A 18328-2025")</f>
        <v/>
      </c>
      <c r="W6">
        <f>HYPERLINK("https://klasma.github.io/Logging_1278/klagomålsmail/A 18328-2025 FSC-klagomål mail.docx", "A 18328-2025")</f>
        <v/>
      </c>
      <c r="X6">
        <f>HYPERLINK("https://klasma.github.io/Logging_1278/tillsyn/A 18328-2025 tillsynsbegäran.docx", "A 18328-2025")</f>
        <v/>
      </c>
      <c r="Y6">
        <f>HYPERLINK("https://klasma.github.io/Logging_1278/tillsynsmail/A 18328-2025 tillsynsbegäran mail.docx", "A 18328-2025")</f>
        <v/>
      </c>
      <c r="Z6">
        <f>HYPERLINK("https://klasma.github.io/Logging_1278/fåglar/A 18328-2025 prioriterade fågelarter.docx", "A 18328-2025")</f>
        <v/>
      </c>
    </row>
    <row r="7" ht="15" customHeight="1">
      <c r="A7" t="inlineStr">
        <is>
          <t>A 389-2023</t>
        </is>
      </c>
      <c r="B7" s="1" t="n">
        <v>44929</v>
      </c>
      <c r="C7" s="1" t="n">
        <v>46198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389-2023 artfynd.xlsx", "A 389-2023")</f>
        <v/>
      </c>
      <c r="T7">
        <f>HYPERLINK("https://klasma.github.io/Logging_1278/kartor/A 389-2023 karta.png", "A 389-2023")</f>
        <v/>
      </c>
      <c r="V7">
        <f>HYPERLINK("https://klasma.github.io/Logging_1278/klagomål/A 389-2023 FSC-klagomål.docx", "A 389-2023")</f>
        <v/>
      </c>
      <c r="W7">
        <f>HYPERLINK("https://klasma.github.io/Logging_1278/klagomålsmail/A 389-2023 FSC-klagomål mail.docx", "A 389-2023")</f>
        <v/>
      </c>
      <c r="X7">
        <f>HYPERLINK("https://klasma.github.io/Logging_1278/tillsyn/A 389-2023 tillsynsbegäran.docx", "A 389-2023")</f>
        <v/>
      </c>
      <c r="Y7">
        <f>HYPERLINK("https://klasma.github.io/Logging_1278/tillsynsmail/A 389-2023 tillsynsbegäran mail.docx", "A 389-2023")</f>
        <v/>
      </c>
    </row>
    <row r="8" ht="15" customHeight="1">
      <c r="A8" t="inlineStr">
        <is>
          <t>A 1782-2024</t>
        </is>
      </c>
      <c r="B8" s="1" t="n">
        <v>45307</v>
      </c>
      <c r="C8" s="1" t="n">
        <v>46198</v>
      </c>
      <c r="D8" t="inlineStr">
        <is>
          <t>SKÅNE LÄN</t>
        </is>
      </c>
      <c r="E8" t="inlineStr">
        <is>
          <t>BÅSTAD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1782-2024 artfynd.xlsx", "A 1782-2024")</f>
        <v/>
      </c>
      <c r="T8">
        <f>HYPERLINK("https://klasma.github.io/Logging_1278/kartor/A 1782-2024 karta.png", "A 1782-2024")</f>
        <v/>
      </c>
      <c r="V8">
        <f>HYPERLINK("https://klasma.github.io/Logging_1278/klagomål/A 1782-2024 FSC-klagomål.docx", "A 1782-2024")</f>
        <v/>
      </c>
      <c r="W8">
        <f>HYPERLINK("https://klasma.github.io/Logging_1278/klagomålsmail/A 1782-2024 FSC-klagomål mail.docx", "A 1782-2024")</f>
        <v/>
      </c>
      <c r="X8">
        <f>HYPERLINK("https://klasma.github.io/Logging_1278/tillsyn/A 1782-2024 tillsynsbegäran.docx", "A 1782-2024")</f>
        <v/>
      </c>
      <c r="Y8">
        <f>HYPERLINK("https://klasma.github.io/Logging_1278/tillsynsmail/A 1782-2024 tillsynsbegäran mail.docx", "A 1782-2024")</f>
        <v/>
      </c>
    </row>
    <row r="9" ht="15" customHeight="1">
      <c r="A9" t="inlineStr">
        <is>
          <t>A 18332-2025</t>
        </is>
      </c>
      <c r="B9" s="1" t="n">
        <v>45762</v>
      </c>
      <c r="C9" s="1" t="n">
        <v>46198</v>
      </c>
      <c r="D9" t="inlineStr">
        <is>
          <t>SKÅNE LÄN</t>
        </is>
      </c>
      <c r="E9" t="inlineStr">
        <is>
          <t>BÅSTAD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Källmossa</t>
        </is>
      </c>
      <c r="S9">
        <f>HYPERLINK("https://klasma.github.io/Logging_1278/artfynd/A 18332-2025 artfynd.xlsx", "A 18332-2025")</f>
        <v/>
      </c>
      <c r="T9">
        <f>HYPERLINK("https://klasma.github.io/Logging_1278/kartor/A 18332-2025 karta.png", "A 18332-2025")</f>
        <v/>
      </c>
      <c r="V9">
        <f>HYPERLINK("https://klasma.github.io/Logging_1278/klagomål/A 18332-2025 FSC-klagomål.docx", "A 18332-2025")</f>
        <v/>
      </c>
      <c r="W9">
        <f>HYPERLINK("https://klasma.github.io/Logging_1278/klagomålsmail/A 18332-2025 FSC-klagomål mail.docx", "A 18332-2025")</f>
        <v/>
      </c>
      <c r="X9">
        <f>HYPERLINK("https://klasma.github.io/Logging_1278/tillsyn/A 18332-2025 tillsynsbegäran.docx", "A 18332-2025")</f>
        <v/>
      </c>
      <c r="Y9">
        <f>HYPERLINK("https://klasma.github.io/Logging_1278/tillsynsmail/A 18332-2025 tillsynsbegäran mail.docx", "A 18332-2025")</f>
        <v/>
      </c>
    </row>
    <row r="10" ht="15" customHeight="1">
      <c r="A10" t="inlineStr">
        <is>
          <t>A 4481-2024</t>
        </is>
      </c>
      <c r="B10" s="1" t="n">
        <v>45327</v>
      </c>
      <c r="C10" s="1" t="n">
        <v>46198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46198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46198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46198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46198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46198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46198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4486-2024</t>
        </is>
      </c>
      <c r="B17" s="1" t="n">
        <v>45327</v>
      </c>
      <c r="C17" s="1" t="n">
        <v>46198</v>
      </c>
      <c r="D17" t="inlineStr">
        <is>
          <t>SKÅNE LÄN</t>
        </is>
      </c>
      <c r="E17" t="inlineStr">
        <is>
          <t>BÅSTAD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46198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46198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7727-2026</t>
        </is>
      </c>
      <c r="B20" s="1" t="n">
        <v>46062</v>
      </c>
      <c r="C20" s="1" t="n">
        <v>46198</v>
      </c>
      <c r="D20" t="inlineStr">
        <is>
          <t>SKÅNE LÄN</t>
        </is>
      </c>
      <c r="E20" t="inlineStr">
        <is>
          <t>BÅSTAD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32610-2024</t>
        </is>
      </c>
      <c r="B21" s="1" t="n">
        <v>45513</v>
      </c>
      <c r="C21" s="1" t="n">
        <v>46198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7731-2026</t>
        </is>
      </c>
      <c r="B22" s="1" t="n">
        <v>46062</v>
      </c>
      <c r="C22" s="1" t="n">
        <v>46198</v>
      </c>
      <c r="D22" t="inlineStr">
        <is>
          <t>SKÅNE LÄN</t>
        </is>
      </c>
      <c r="E22" t="inlineStr">
        <is>
          <t>BÅSTAD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46198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16624-2026</t>
        </is>
      </c>
      <c r="B24" s="1" t="n">
        <v>46112</v>
      </c>
      <c r="C24" s="1" t="n">
        <v>46198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4487-2024</t>
        </is>
      </c>
      <c r="B25" s="1" t="n">
        <v>45327</v>
      </c>
      <c r="C25" s="1" t="n">
        <v>46198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5817-2025</t>
        </is>
      </c>
      <c r="B26" s="1" t="n">
        <v>45694</v>
      </c>
      <c r="C26" s="1" t="n">
        <v>46198</v>
      </c>
      <c r="D26" t="inlineStr">
        <is>
          <t>SKÅNE LÄN</t>
        </is>
      </c>
      <c r="E26" t="inlineStr">
        <is>
          <t>BÅSTAD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48181-2024</t>
        </is>
      </c>
      <c r="B27" s="1" t="n">
        <v>45589</v>
      </c>
      <c r="C27" s="1" t="n">
        <v>46198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46198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4493-2024</t>
        </is>
      </c>
      <c r="B29" s="1" t="n">
        <v>45327</v>
      </c>
      <c r="C29" s="1" t="n">
        <v>46198</v>
      </c>
      <c r="D29" t="inlineStr">
        <is>
          <t>SKÅNE LÄN</t>
        </is>
      </c>
      <c r="E29" t="inlineStr">
        <is>
          <t>BÅSTAD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10710-2025</t>
        </is>
      </c>
      <c r="B30" s="1" t="n">
        <v>45722</v>
      </c>
      <c r="C30" s="1" t="n">
        <v>46198</v>
      </c>
      <c r="D30" t="inlineStr">
        <is>
          <t>SKÅNE LÄN</t>
        </is>
      </c>
      <c r="E30" t="inlineStr">
        <is>
          <t>BÅSTAD</t>
        </is>
      </c>
      <c r="F30" t="inlineStr">
        <is>
          <t>Kommuner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34400-2025</t>
        </is>
      </c>
      <c r="B31" s="1" t="n">
        <v>45846</v>
      </c>
      <c r="C31" s="1" t="n">
        <v>46198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2026-06-25T00:44:37Z</dcterms:created>
  <dcterms:modified xmlns:dcterms="http://purl.org/dc/terms/" xmlns:xsi="http://www.w3.org/2001/XMLSchema-instance" xsi:type="dcterms:W3CDTF">2026-06-25T00:44:37Z</dcterms:modified>
</cp:coreProperties>
</file>