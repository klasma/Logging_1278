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46273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46273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46273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46273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46273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46273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46273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46273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46273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389-2023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44929</v>
      </c>
      <c r="E11" s="1" t="n">
        <v>46273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Grönvit nattviol</t>
        </is>
      </c>
      <c r="W11">
        <f>HYPERLINK("https://klasma.github.io/Logging_1278/artfynd/A 389-2023 artfynd.xlsx", "A 389-2023")</f>
        <v/>
      </c>
      <c r="X11">
        <f>HYPERLINK("https://klasma.github.io/Logging_1278/kartor/A 389-2023 karta.png", "A 389-2023")</f>
        <v/>
      </c>
      <c r="Y11">
        <f>HYPERLINK("https://klasma.github.io/Logging_1278/kartor_geotiff/A 389-2023 georefererad karta.tif", "A 389-2023")</f>
        <v/>
      </c>
      <c r="AA11">
        <f>HYPERLINK("https://klasma.github.io/Logging_1278/klagomål/A 389-2023 FSC-klagomål.docx", "A 389-2023")</f>
        <v/>
      </c>
      <c r="AB11">
        <f>HYPERLINK("https://klasma.github.io/Logging_1278/klagomålsmail/A 389-2023 FSC-klagomål mail.docx", "A 389-2023")</f>
        <v/>
      </c>
      <c r="AC11">
        <f>HYPERLINK("https://klasma.github.io/Logging_1278/tillsyn/A 389-2023 tillsynsbegäran.docx", "A 389-2023")</f>
        <v/>
      </c>
      <c r="AD11">
        <f>HYPERLINK("https://klasma.github.io/Logging_1278/tillsynsmail/A 389-2023 tillsynsbegäran mail.docx", "A 389-2023")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46273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46273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46273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46273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32610-2024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45513</v>
      </c>
      <c r="E16" s="1" t="n">
        <v>46273</v>
      </c>
      <c r="F16" t="inlineStr">
        <is>
          <t>SKÅNE LÄN</t>
        </is>
      </c>
      <c r="G16" t="inlineStr">
        <is>
          <t>BÅSTAD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44930</v>
      </c>
      <c r="E17" s="1" t="n">
        <v>46273</v>
      </c>
      <c r="F17" t="inlineStr">
        <is>
          <t>SKÅNE LÄN</t>
        </is>
      </c>
      <c r="G17" t="inlineStr">
        <is>
          <t>BÅSTAD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45589</v>
      </c>
      <c r="E18" s="1" t="n">
        <v>46273</v>
      </c>
      <c r="F18" t="inlineStr">
        <is>
          <t>SKÅNE LÄN</t>
        </is>
      </c>
      <c r="G18" t="inlineStr">
        <is>
          <t>BÅSTAD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5817-2025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45694</v>
      </c>
      <c r="E19" s="1" t="n">
        <v>46273</v>
      </c>
      <c r="F19" t="inlineStr">
        <is>
          <t>SKÅNE LÄN</t>
        </is>
      </c>
      <c r="G19" t="inlineStr">
        <is>
          <t>BÅSTAD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44928</v>
      </c>
      <c r="E20" s="1" t="n">
        <v>46273</v>
      </c>
      <c r="F20" t="inlineStr">
        <is>
          <t>SKÅNE LÄN</t>
        </is>
      </c>
      <c r="G20" t="inlineStr">
        <is>
          <t>BÅSTAD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21572-2023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45063</v>
      </c>
      <c r="E21" s="1" t="n">
        <v>46273</v>
      </c>
      <c r="F21" t="inlineStr">
        <is>
          <t>SKÅNE LÄN</t>
        </is>
      </c>
      <c r="G21" t="inlineStr">
        <is>
          <t>BÅSTAD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28260-2023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45099</v>
      </c>
      <c r="E22" s="1" t="n">
        <v>46273</v>
      </c>
      <c r="F22" t="inlineStr">
        <is>
          <t>SKÅNE LÄN</t>
        </is>
      </c>
      <c r="G22" t="inlineStr">
        <is>
          <t>BÅSTAD</t>
        </is>
      </c>
      <c r="I22" t="n">
        <v>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4481-2024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46273</v>
      </c>
      <c r="F23" t="inlineStr">
        <is>
          <t>SKÅNE LÄN</t>
        </is>
      </c>
      <c r="G23" t="inlineStr">
        <is>
          <t>BÅSTAD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7731-2026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46062</v>
      </c>
      <c r="E24" s="1" t="n">
        <v>46273</v>
      </c>
      <c r="F24" t="inlineStr">
        <is>
          <t>SKÅNE LÄN</t>
        </is>
      </c>
      <c r="G24" t="inlineStr">
        <is>
          <t>BÅSTAD</t>
        </is>
      </c>
      <c r="I24" t="n">
        <v>5.9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16624-2026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46273</v>
      </c>
      <c r="F25" t="inlineStr">
        <is>
          <t>SKÅNE LÄN</t>
        </is>
      </c>
      <c r="G25" t="inlineStr">
        <is>
          <t>BÅSTAD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18434-2023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45042</v>
      </c>
      <c r="E26" s="1" t="n">
        <v>46273</v>
      </c>
      <c r="F26" t="inlineStr">
        <is>
          <t>SKÅNE LÄN</t>
        </is>
      </c>
      <c r="G26" t="inlineStr">
        <is>
          <t>BÅSTAD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31550-2026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46223</v>
      </c>
      <c r="E27" s="1" t="n">
        <v>46273</v>
      </c>
      <c r="F27" t="inlineStr">
        <is>
          <t>SKÅNE LÄN</t>
        </is>
      </c>
      <c r="G27" t="inlineStr">
        <is>
          <t>BÅSTAD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28854-2026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46273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53131-2021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44468</v>
      </c>
      <c r="E29" s="1" t="n">
        <v>46273</v>
      </c>
      <c r="F29" t="inlineStr">
        <is>
          <t>SKÅNE LÄN</t>
        </is>
      </c>
      <c r="G29" t="inlineStr">
        <is>
          <t>BÅSTAD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46273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18327-2025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45762</v>
      </c>
      <c r="E31" s="1" t="n">
        <v>46273</v>
      </c>
      <c r="F31" t="inlineStr">
        <is>
          <t>SKÅNE LÄN</t>
        </is>
      </c>
      <c r="G31" t="inlineStr">
        <is>
          <t>BÅSTAD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46273</v>
      </c>
      <c r="F32" t="inlineStr">
        <is>
          <t>SKÅNE LÄN</t>
        </is>
      </c>
      <c r="G32" t="inlineStr">
        <is>
          <t>BÅSTAD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46273</v>
      </c>
      <c r="F33" t="inlineStr">
        <is>
          <t>SKÅNE LÄN</t>
        </is>
      </c>
      <c r="G33" t="inlineStr">
        <is>
          <t>BÅSTAD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34400-2025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46273</v>
      </c>
      <c r="F34" t="inlineStr">
        <is>
          <t>SKÅNE LÄN</t>
        </is>
      </c>
      <c r="G34" t="inlineStr">
        <is>
          <t>BÅSTAD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46273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2026-09-08T02:05:59Z</dcterms:created>
  <dcterms:modified xmlns:dcterms="http://purl.org/dc/terms/" xmlns:xsi="http://www.w3.org/2001/XMLSchema-instance" xsi:type="dcterms:W3CDTF">2026-09-08T02:05:59Z</dcterms:modified>
</cp:coreProperties>
</file>