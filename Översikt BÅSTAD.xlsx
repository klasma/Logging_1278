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46228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46228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46228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46228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46228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46228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18328-2025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46228</v>
      </c>
      <c r="F8" t="inlineStr">
        <is>
          <t>SKÅNE LÄN</t>
        </is>
      </c>
      <c r="G8" t="inlineStr">
        <is>
          <t>BÅSTAD</t>
        </is>
      </c>
      <c r="I8" t="n">
        <v>1.8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Törnskata</t>
        </is>
      </c>
      <c r="W8">
        <f>HYPERLINK("https://klasma.github.io/Logging_1278/artfynd/A 18328-2025 artfynd.xlsx", "A 18328-2025")</f>
        <v/>
      </c>
      <c r="X8">
        <f>HYPERLINK("https://klasma.github.io/Logging_1278/kartor/A 18328-2025 karta.png", "A 18328-2025")</f>
        <v/>
      </c>
      <c r="Y8">
        <f>HYPERLINK("https://klasma.github.io/Logging_1278/kartor_geotiff/A 18328-2025 georefererad karta.tif", "A 18328-2025")</f>
        <v/>
      </c>
      <c r="AA8">
        <f>HYPERLINK("https://klasma.github.io/Logging_1278/klagomål/A 18328-2025 FSC-klagomål.docx", "A 18328-2025")</f>
        <v/>
      </c>
      <c r="AB8">
        <f>HYPERLINK("https://klasma.github.io/Logging_1278/klagomålsmail/A 18328-2025 FSC-klagomål mail.docx", "A 18328-2025")</f>
        <v/>
      </c>
      <c r="AC8">
        <f>HYPERLINK("https://klasma.github.io/Logging_1278/tillsyn/A 18328-2025 tillsynsbegäran.docx", "A 18328-2025")</f>
        <v/>
      </c>
      <c r="AD8">
        <f>HYPERLINK("https://klasma.github.io/Logging_1278/tillsynsmail/A 18328-2025 tillsynsbegäran mail.docx", "A 18328-2025")</f>
        <v/>
      </c>
      <c r="AE8">
        <f>HYPERLINK("https://klasma.github.io/Logging_1278/fåglar/A 18328-2025 prioriterade fågelarter.docx", "A 18328-2025")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46228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46228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Grönvit nattviol</t>
        </is>
      </c>
      <c r="W10">
        <f>HYPERLINK("https://klasma.github.io/Logging_1278/artfynd/A 1782-2024 artfynd.xlsx", "A 1782-2024")</f>
        <v/>
      </c>
      <c r="X10">
        <f>HYPERLINK("https://klasma.github.io/Logging_1278/kartor/A 1782-2024 karta.png", "A 1782-2024")</f>
        <v/>
      </c>
      <c r="Y10">
        <f>HYPERLINK("https://klasma.github.io/Logging_1278/kartor_geotiff/A 1782-2024 georefererad karta.tif", "A 1782-2024")</f>
        <v/>
      </c>
      <c r="AA10">
        <f>HYPERLINK("https://klasma.github.io/Logging_1278/klagomål/A 1782-2024 FSC-klagomål.docx", "A 1782-2024")</f>
        <v/>
      </c>
      <c r="AB10">
        <f>HYPERLINK("https://klasma.github.io/Logging_1278/klagomålsmail/A 1782-2024 FSC-klagomål mail.docx", "A 1782-2024")</f>
        <v/>
      </c>
      <c r="AC10">
        <f>HYPERLINK("https://klasma.github.io/Logging_1278/tillsyn/A 1782-2024 tillsynsbegäran.docx", "A 1782-2024")</f>
        <v/>
      </c>
      <c r="AD10">
        <f>HYPERLINK("https://klasma.github.io/Logging_1278/tillsynsmail/A 1782-2024 tillsynsbegäran mail.docx", "A 1782-2024")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46228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46228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46228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46228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46228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4822-2023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46228</v>
      </c>
      <c r="F16" t="inlineStr">
        <is>
          <t>SKÅNE LÄN</t>
        </is>
      </c>
      <c r="G16" t="inlineStr">
        <is>
          <t>BÅSTAD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46228</v>
      </c>
      <c r="F17" t="inlineStr">
        <is>
          <t>SKÅNE LÄN</t>
        </is>
      </c>
      <c r="G17" t="inlineStr">
        <is>
          <t>BÅSTAD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46228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46228</v>
      </c>
      <c r="F19" t="inlineStr">
        <is>
          <t>SKÅNE LÄN</t>
        </is>
      </c>
      <c r="G19" t="inlineStr">
        <is>
          <t>BÅSTAD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46228</v>
      </c>
      <c r="F20" t="inlineStr">
        <is>
          <t>SKÅNE LÄN</t>
        </is>
      </c>
      <c r="G20" t="inlineStr">
        <is>
          <t>BÅSTAD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44930</v>
      </c>
      <c r="E21" s="1" t="n">
        <v>46228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32610-2024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45513</v>
      </c>
      <c r="E22" s="1" t="n">
        <v>46228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7731-2026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46062</v>
      </c>
      <c r="E23" s="1" t="n">
        <v>46228</v>
      </c>
      <c r="F23" t="inlineStr">
        <is>
          <t>SKÅNE LÄN</t>
        </is>
      </c>
      <c r="G23" t="inlineStr">
        <is>
          <t>BÅSTAD</t>
        </is>
      </c>
      <c r="I23" t="n">
        <v>5.9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28854-2026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46198</v>
      </c>
      <c r="E24" s="1" t="n">
        <v>46228</v>
      </c>
      <c r="F24" t="inlineStr">
        <is>
          <t>SKÅNE LÄN</t>
        </is>
      </c>
      <c r="G24" t="inlineStr">
        <is>
          <t>BÅSTAD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16624-2026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46228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18434-2023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45042</v>
      </c>
      <c r="E26" s="1" t="n">
        <v>46228</v>
      </c>
      <c r="F26" t="inlineStr">
        <is>
          <t>SKÅNE LÄN</t>
        </is>
      </c>
      <c r="G26" t="inlineStr">
        <is>
          <t>BÅSTAD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31550-2026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46223</v>
      </c>
      <c r="E27" s="1" t="n">
        <v>46228</v>
      </c>
      <c r="F27" t="inlineStr">
        <is>
          <t>SKÅNE LÄN</t>
        </is>
      </c>
      <c r="G27" t="inlineStr">
        <is>
          <t>BÅSTAD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46228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46228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46228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44468</v>
      </c>
      <c r="E31" s="1" t="n">
        <v>46228</v>
      </c>
      <c r="F31" t="inlineStr">
        <is>
          <t>SKÅNE LÄN</t>
        </is>
      </c>
      <c r="G31" t="inlineStr">
        <is>
          <t>BÅSTAD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46228</v>
      </c>
      <c r="F32" t="inlineStr">
        <is>
          <t>SKÅNE LÄN</t>
        </is>
      </c>
      <c r="G32" t="inlineStr">
        <is>
          <t>BÅSTAD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46228</v>
      </c>
      <c r="F33" t="inlineStr">
        <is>
          <t>SKÅNE LÄN</t>
        </is>
      </c>
      <c r="G33" t="inlineStr">
        <is>
          <t>BÅSTAD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34400-2025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46228</v>
      </c>
      <c r="F34" t="inlineStr">
        <is>
          <t>SKÅNE LÄN</t>
        </is>
      </c>
      <c r="G34" t="inlineStr">
        <is>
          <t>BÅSTAD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46228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2026-07-25T01:49:07Z</dcterms:created>
  <dcterms:modified xmlns:dcterms="http://purl.org/dc/terms/" xmlns:xsi="http://www.w3.org/2001/XMLSchema-instance" xsi:type="dcterms:W3CDTF">2026-07-25T01:49:07Z</dcterms:modified>
</cp:coreProperties>
</file>