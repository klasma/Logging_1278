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46199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46199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46199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46199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46199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389-2023</t>
        </is>
      </c>
      <c r="B7" s="1" t="n">
        <v>44929</v>
      </c>
      <c r="C7" s="1" t="n">
        <v>46199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389-2023 artfynd.xlsx", "A 389-2023")</f>
        <v/>
      </c>
      <c r="T7">
        <f>HYPERLINK("https://klasma.github.io/Logging_1278/kartor/A 389-2023 karta.png", "A 389-2023")</f>
        <v/>
      </c>
      <c r="V7">
        <f>HYPERLINK("https://klasma.github.io/Logging_1278/klagomål/A 389-2023 FSC-klagomål.docx", "A 389-2023")</f>
        <v/>
      </c>
      <c r="W7">
        <f>HYPERLINK("https://klasma.github.io/Logging_1278/klagomålsmail/A 389-2023 FSC-klagomål mail.docx", "A 389-2023")</f>
        <v/>
      </c>
      <c r="X7">
        <f>HYPERLINK("https://klasma.github.io/Logging_1278/tillsyn/A 389-2023 tillsynsbegäran.docx", "A 389-2023")</f>
        <v/>
      </c>
      <c r="Y7">
        <f>HYPERLINK("https://klasma.github.io/Logging_1278/tillsynsmail/A 389-2023 tillsynsbegäran mail.docx", "A 389-2023")</f>
        <v/>
      </c>
    </row>
    <row r="8" ht="15" customHeight="1">
      <c r="A8" t="inlineStr">
        <is>
          <t>A 18328-2025</t>
        </is>
      </c>
      <c r="B8" s="1" t="n">
        <v>45762</v>
      </c>
      <c r="C8" s="1" t="n">
        <v>46199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Törnskata</t>
        </is>
      </c>
      <c r="S8">
        <f>HYPERLINK("https://klasma.github.io/Logging_1278/artfynd/A 18328-2025 artfynd.xlsx", "A 18328-2025")</f>
        <v/>
      </c>
      <c r="T8">
        <f>HYPERLINK("https://klasma.github.io/Logging_1278/kartor/A 18328-2025 karta.png", "A 18328-2025")</f>
        <v/>
      </c>
      <c r="V8">
        <f>HYPERLINK("https://klasma.github.io/Logging_1278/klagomål/A 18328-2025 FSC-klagomål.docx", "A 18328-2025")</f>
        <v/>
      </c>
      <c r="W8">
        <f>HYPERLINK("https://klasma.github.io/Logging_1278/klagomålsmail/A 18328-2025 FSC-klagomål mail.docx", "A 18328-2025")</f>
        <v/>
      </c>
      <c r="X8">
        <f>HYPERLINK("https://klasma.github.io/Logging_1278/tillsyn/A 18328-2025 tillsynsbegäran.docx", "A 18328-2025")</f>
        <v/>
      </c>
      <c r="Y8">
        <f>HYPERLINK("https://klasma.github.io/Logging_1278/tillsynsmail/A 18328-2025 tillsynsbegäran mail.docx", "A 18328-2025")</f>
        <v/>
      </c>
      <c r="Z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s="1" t="n">
        <v>45762</v>
      </c>
      <c r="C9" s="1" t="n">
        <v>46199</v>
      </c>
      <c r="D9" t="inlineStr">
        <is>
          <t>SKÅNE LÄN</t>
        </is>
      </c>
      <c r="E9" t="inlineStr">
        <is>
          <t>BÅSTAD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Källmossa</t>
        </is>
      </c>
      <c r="S9">
        <f>HYPERLINK("https://klasma.github.io/Logging_1278/artfynd/A 18332-2025 artfynd.xlsx", "A 18332-2025")</f>
        <v/>
      </c>
      <c r="T9">
        <f>HYPERLINK("https://klasma.github.io/Logging_1278/kartor/A 18332-2025 karta.png", "A 18332-2025")</f>
        <v/>
      </c>
      <c r="V9">
        <f>HYPERLINK("https://klasma.github.io/Logging_1278/klagomål/A 18332-2025 FSC-klagomål.docx", "A 18332-2025")</f>
        <v/>
      </c>
      <c r="W9">
        <f>HYPERLINK("https://klasma.github.io/Logging_1278/klagomålsmail/A 18332-2025 FSC-klagomål mail.docx", "A 18332-2025")</f>
        <v/>
      </c>
      <c r="X9">
        <f>HYPERLINK("https://klasma.github.io/Logging_1278/tillsyn/A 18332-2025 tillsynsbegäran.docx", "A 18332-2025")</f>
        <v/>
      </c>
      <c r="Y9">
        <f>HYPERLINK("https://klasma.github.io/Logging_1278/tillsynsmail/A 18332-2025 tillsynsbegäran mail.docx", "A 18332-2025")</f>
        <v/>
      </c>
    </row>
    <row r="10" ht="15" customHeight="1">
      <c r="A10" t="inlineStr">
        <is>
          <t>A 4493-2024</t>
        </is>
      </c>
      <c r="B10" s="1" t="n">
        <v>45327</v>
      </c>
      <c r="C10" s="1" t="n">
        <v>46199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46199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46199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46199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46199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32610-2024</t>
        </is>
      </c>
      <c r="B15" s="1" t="n">
        <v>45513</v>
      </c>
      <c r="C15" s="1" t="n">
        <v>46199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</v>
      </c>
      <c r="C16" s="1" t="n">
        <v>46199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46199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48181-2024</t>
        </is>
      </c>
      <c r="B18" s="1" t="n">
        <v>45589</v>
      </c>
      <c r="C18" s="1" t="n">
        <v>46199</v>
      </c>
      <c r="D18" t="inlineStr">
        <is>
          <t>SKÅNE LÄN</t>
        </is>
      </c>
      <c r="E18" t="inlineStr">
        <is>
          <t>BÅSTAD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7727-2026</t>
        </is>
      </c>
      <c r="B19" s="1" t="n">
        <v>46062</v>
      </c>
      <c r="C19" s="1" t="n">
        <v>46199</v>
      </c>
      <c r="D19" t="inlineStr">
        <is>
          <t>SKÅNE LÄN</t>
        </is>
      </c>
      <c r="E19" t="inlineStr">
        <is>
          <t>BÅSTAD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7731-2026</t>
        </is>
      </c>
      <c r="B20" s="1" t="n">
        <v>46062</v>
      </c>
      <c r="C20" s="1" t="n">
        <v>46199</v>
      </c>
      <c r="D20" t="inlineStr">
        <is>
          <t>SKÅNE LÄN</t>
        </is>
      </c>
      <c r="E20" t="inlineStr">
        <is>
          <t>BÅSTAD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5817-2025</t>
        </is>
      </c>
      <c r="B21" s="1" t="n">
        <v>45694</v>
      </c>
      <c r="C21" s="1" t="n">
        <v>46199</v>
      </c>
      <c r="D21" t="inlineStr">
        <is>
          <t>SKÅNE LÄN</t>
        </is>
      </c>
      <c r="E21" t="inlineStr">
        <is>
          <t>BÅSTAD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16624-2026</t>
        </is>
      </c>
      <c r="B22" s="1" t="n">
        <v>46112</v>
      </c>
      <c r="C22" s="1" t="n">
        <v>46199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46199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46199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46199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46199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46199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46199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28854-2026</t>
        </is>
      </c>
      <c r="B29" s="1" t="n">
        <v>46198</v>
      </c>
      <c r="C29" s="1" t="n">
        <v>46199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46199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46199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18327-2025</t>
        </is>
      </c>
      <c r="B32" s="1" t="n">
        <v>45762</v>
      </c>
      <c r="C32" s="1" t="n">
        <v>46199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2026-06-26T00:50:24Z</dcterms:created>
  <dcterms:modified xmlns:dcterms="http://purl.org/dc/terms/" xmlns:xsi="http://www.w3.org/2001/XMLSchema-instance" xsi:type="dcterms:W3CDTF">2026-06-26T00:50:24Z</dcterms:modified>
</cp:coreProperties>
</file>