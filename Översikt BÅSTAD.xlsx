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46317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46317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46317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46317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46317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46317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46317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46317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A 18332-2025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45762</v>
      </c>
      <c r="E12" s="1" t="n">
        <v>46317</v>
      </c>
      <c r="F12" t="inlineStr">
        <is>
          <t>SKÅNE LÄN</t>
        </is>
      </c>
      <c r="G12" t="inlineStr">
        <is>
          <t>BÅSTAD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Källmossa</t>
        </is>
      </c>
      <c r="W12">
        <f>HYPERLINK("https://klasma.github.io/Logging_1278/artfynd/A 18332-2025 artfynd.xlsx", "A 18332-2025")</f>
        <v/>
      </c>
      <c r="X12">
        <f>HYPERLINK("https://klasma.github.io/Logging_1278/kartor/A 18332-2025 karta.png", "A 18332-2025")</f>
        <v/>
      </c>
      <c r="Y12">
        <f>HYPERLINK("https://klasma.github.io/Logging_1278/kartor_geotiff/A 18332-2025 georefererad karta.tif", "A 18332-2025")</f>
        <v/>
      </c>
      <c r="AA12">
        <f>HYPERLINK("https://klasma.github.io/Logging_1278/klagomål/A 18332-2025 FSC-klagomål.docx", "A 18332-2025")</f>
        <v/>
      </c>
      <c r="AB12">
        <f>HYPERLINK("https://klasma.github.io/Logging_1278/klagomålsmail/A 18332-2025 FSC-klagomål mail.docx", "A 18332-2025")</f>
        <v/>
      </c>
      <c r="AC12">
        <f>HYPERLINK("https://klasma.github.io/Logging_1278/tillsyn/A 18332-2025 tillsynsbegäran.docx", "A 18332-2025")</f>
        <v/>
      </c>
      <c r="AD12">
        <f>HYPERLINK("https://klasma.github.io/Logging_1278/tillsynsmail/A 18332-2025 tillsynsbegäran mail.docx", "A 18332-2025")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46317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4822-2023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46317</v>
      </c>
      <c r="F14" t="inlineStr">
        <is>
          <t>SKÅNE LÄN</t>
        </is>
      </c>
      <c r="G14" t="inlineStr">
        <is>
          <t>BÅSTAD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46317</v>
      </c>
      <c r="F15" t="inlineStr">
        <is>
          <t>SKÅNE LÄN</t>
        </is>
      </c>
      <c r="G15" t="inlineStr">
        <is>
          <t>BÅSTAD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46317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46317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32610-2024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45513</v>
      </c>
      <c r="E18" s="1" t="n">
        <v>46317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34400-2025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46317</v>
      </c>
      <c r="F19" t="inlineStr">
        <is>
          <t>SKÅNE LÄN</t>
        </is>
      </c>
      <c r="G19" t="inlineStr">
        <is>
          <t>BÅSTAD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44930</v>
      </c>
      <c r="E20" s="1" t="n">
        <v>46317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48181-2024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46317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46062</v>
      </c>
      <c r="E22" s="1" t="n">
        <v>46317</v>
      </c>
      <c r="F22" t="inlineStr">
        <is>
          <t>SKÅNE LÄN</t>
        </is>
      </c>
      <c r="G22" t="inlineStr">
        <is>
          <t>BÅSTAD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46317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46317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46317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46317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46317</v>
      </c>
      <c r="F27" t="inlineStr">
        <is>
          <t>SKÅNE LÄN</t>
        </is>
      </c>
      <c r="G27" t="inlineStr">
        <is>
          <t>BÅSTAD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46317</v>
      </c>
      <c r="F28" t="inlineStr">
        <is>
          <t>SKÅNE LÄN</t>
        </is>
      </c>
      <c r="G28" t="inlineStr">
        <is>
          <t>BÅSTAD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46317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46317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46317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46317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46317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46317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46317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